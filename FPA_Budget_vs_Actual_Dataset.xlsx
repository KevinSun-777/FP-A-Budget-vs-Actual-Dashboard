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B9DB33A0-B167-47B3-8C0D-919CB465948D}" xr6:coauthVersionLast="47" xr6:coauthVersionMax="47" xr10:uidLastSave="{00000000-0000-0000-0000-000000000000}"/>
  <bookViews>
    <workbookView xWindow="3645" yWindow="4665" windowWidth="28770" windowHeight="15735" xr2:uid="{00000000-000D-0000-FFFF-FFFF00000000}"/>
  </bookViews>
  <sheets>
    <sheet name="Revenue" sheetId="1" r:id="rId1"/>
    <sheet name="Operating Expense" sheetId="2" r:id="rId2"/>
    <sheet name="Headcount" sheetId="3" r:id="rId3"/>
    <sheet name="KPI" sheetId="4" r:id="rId4"/>
    <sheet name="Summar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4" l="1"/>
  <c r="F5" i="4"/>
  <c r="F6" i="4"/>
  <c r="F7" i="4"/>
  <c r="D3" i="4" l="1"/>
  <c r="D5" i="4"/>
  <c r="D6" i="4"/>
  <c r="D7" i="4"/>
  <c r="D8" i="4"/>
  <c r="E8" i="4" s="1"/>
  <c r="C4" i="4"/>
  <c r="D4" i="4" s="1"/>
  <c r="E4" i="4" s="1"/>
  <c r="B4" i="4"/>
  <c r="C3" i="4"/>
  <c r="B3" i="4"/>
  <c r="C2" i="4"/>
  <c r="B2" i="4"/>
  <c r="D2" i="4" s="1"/>
  <c r="F2" i="4" s="1"/>
  <c r="J30" i="2"/>
  <c r="K30" i="2" s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2" i="2"/>
  <c r="H3" i="2"/>
  <c r="J3" i="2" s="1"/>
  <c r="K3" i="2" s="1"/>
  <c r="H4" i="2"/>
  <c r="J4" i="2" s="1"/>
  <c r="K4" i="2" s="1"/>
  <c r="H5" i="2"/>
  <c r="J5" i="2" s="1"/>
  <c r="K5" i="2" s="1"/>
  <c r="H6" i="2"/>
  <c r="J6" i="2" s="1"/>
  <c r="K6" i="2" s="1"/>
  <c r="H7" i="2"/>
  <c r="J7" i="2" s="1"/>
  <c r="K7" i="2" s="1"/>
  <c r="H8" i="2"/>
  <c r="J8" i="2" s="1"/>
  <c r="K8" i="2" s="1"/>
  <c r="H9" i="2"/>
  <c r="J9" i="2" s="1"/>
  <c r="K9" i="2" s="1"/>
  <c r="H10" i="2"/>
  <c r="J10" i="2" s="1"/>
  <c r="K10" i="2" s="1"/>
  <c r="H11" i="2"/>
  <c r="J11" i="2" s="1"/>
  <c r="K11" i="2" s="1"/>
  <c r="H12" i="2"/>
  <c r="J12" i="2" s="1"/>
  <c r="K12" i="2" s="1"/>
  <c r="H13" i="2"/>
  <c r="J13" i="2" s="1"/>
  <c r="K13" i="2" s="1"/>
  <c r="H14" i="2"/>
  <c r="J14" i="2" s="1"/>
  <c r="K14" i="2" s="1"/>
  <c r="H15" i="2"/>
  <c r="J15" i="2" s="1"/>
  <c r="K15" i="2" s="1"/>
  <c r="H16" i="2"/>
  <c r="J16" i="2" s="1"/>
  <c r="K16" i="2" s="1"/>
  <c r="H17" i="2"/>
  <c r="J17" i="2" s="1"/>
  <c r="K17" i="2" s="1"/>
  <c r="H18" i="2"/>
  <c r="J18" i="2" s="1"/>
  <c r="K18" i="2" s="1"/>
  <c r="H19" i="2"/>
  <c r="J19" i="2" s="1"/>
  <c r="K19" i="2" s="1"/>
  <c r="H20" i="2"/>
  <c r="J20" i="2" s="1"/>
  <c r="K20" i="2" s="1"/>
  <c r="H21" i="2"/>
  <c r="J21" i="2" s="1"/>
  <c r="K21" i="2" s="1"/>
  <c r="H22" i="2"/>
  <c r="J22" i="2" s="1"/>
  <c r="K22" i="2" s="1"/>
  <c r="H23" i="2"/>
  <c r="J23" i="2" s="1"/>
  <c r="K23" i="2" s="1"/>
  <c r="H24" i="2"/>
  <c r="H25" i="2"/>
  <c r="J25" i="2" s="1"/>
  <c r="K25" i="2" s="1"/>
  <c r="H26" i="2"/>
  <c r="J26" i="2" s="1"/>
  <c r="K26" i="2" s="1"/>
  <c r="H27" i="2"/>
  <c r="J27" i="2" s="1"/>
  <c r="K27" i="2" s="1"/>
  <c r="H28" i="2"/>
  <c r="J28" i="2" s="1"/>
  <c r="K28" i="2" s="1"/>
  <c r="H29" i="2"/>
  <c r="J29" i="2" s="1"/>
  <c r="K29" i="2" s="1"/>
  <c r="H30" i="2"/>
  <c r="H31" i="2"/>
  <c r="H32" i="2"/>
  <c r="J32" i="2" s="1"/>
  <c r="K32" i="2" s="1"/>
  <c r="H33" i="2"/>
  <c r="J33" i="2" s="1"/>
  <c r="K33" i="2" s="1"/>
  <c r="H34" i="2"/>
  <c r="J34" i="2" s="1"/>
  <c r="K34" i="2" s="1"/>
  <c r="H35" i="2"/>
  <c r="J35" i="2" s="1"/>
  <c r="K35" i="2" s="1"/>
  <c r="H36" i="2"/>
  <c r="J36" i="2" s="1"/>
  <c r="K36" i="2" s="1"/>
  <c r="H37" i="2"/>
  <c r="J37" i="2" s="1"/>
  <c r="K37" i="2" s="1"/>
  <c r="H38" i="2"/>
  <c r="J38" i="2" s="1"/>
  <c r="K38" i="2" s="1"/>
  <c r="H39" i="2"/>
  <c r="J39" i="2" s="1"/>
  <c r="K39" i="2" s="1"/>
  <c r="H40" i="2"/>
  <c r="J40" i="2" s="1"/>
  <c r="K40" i="2" s="1"/>
  <c r="H41" i="2"/>
  <c r="J41" i="2" s="1"/>
  <c r="K41" i="2" s="1"/>
  <c r="H42" i="2"/>
  <c r="H43" i="2"/>
  <c r="H44" i="2"/>
  <c r="J44" i="2" s="1"/>
  <c r="K44" i="2" s="1"/>
  <c r="H45" i="2"/>
  <c r="J45" i="2" s="1"/>
  <c r="K45" i="2" s="1"/>
  <c r="H46" i="2"/>
  <c r="J46" i="2" s="1"/>
  <c r="K46" i="2" s="1"/>
  <c r="H47" i="2"/>
  <c r="J47" i="2" s="1"/>
  <c r="K47" i="2" s="1"/>
  <c r="H48" i="2"/>
  <c r="J48" i="2" s="1"/>
  <c r="K48" i="2" s="1"/>
  <c r="H49" i="2"/>
  <c r="J49" i="2" s="1"/>
  <c r="K49" i="2" s="1"/>
  <c r="H2" i="2"/>
  <c r="J2" i="2" s="1"/>
  <c r="K2" i="2" s="1"/>
  <c r="F4" i="3"/>
  <c r="F7" i="3"/>
  <c r="F14" i="3"/>
  <c r="F15" i="3"/>
  <c r="F18" i="3"/>
  <c r="F19" i="3"/>
  <c r="F29" i="3"/>
  <c r="F31" i="3"/>
  <c r="F39" i="3"/>
  <c r="F41" i="3"/>
  <c r="F43" i="3"/>
  <c r="F3" i="3"/>
  <c r="F2" i="3"/>
  <c r="E3" i="3"/>
  <c r="E4" i="3"/>
  <c r="E5" i="3"/>
  <c r="F5" i="3" s="1"/>
  <c r="E6" i="3"/>
  <c r="F6" i="3" s="1"/>
  <c r="E7" i="3"/>
  <c r="E8" i="3"/>
  <c r="F8" i="3" s="1"/>
  <c r="E9" i="3"/>
  <c r="F9" i="3" s="1"/>
  <c r="E10" i="3"/>
  <c r="F10" i="3" s="1"/>
  <c r="E11" i="3"/>
  <c r="F11" i="3" s="1"/>
  <c r="E12" i="3"/>
  <c r="F12" i="3" s="1"/>
  <c r="E13" i="3"/>
  <c r="F13" i="3" s="1"/>
  <c r="E14" i="3"/>
  <c r="E15" i="3"/>
  <c r="E16" i="3"/>
  <c r="F16" i="3" s="1"/>
  <c r="E17" i="3"/>
  <c r="F17" i="3" s="1"/>
  <c r="E18" i="3"/>
  <c r="E19" i="3"/>
  <c r="E20" i="3"/>
  <c r="F20" i="3" s="1"/>
  <c r="E21" i="3"/>
  <c r="F21" i="3" s="1"/>
  <c r="E22" i="3"/>
  <c r="F22" i="3" s="1"/>
  <c r="E23" i="3"/>
  <c r="F23" i="3" s="1"/>
  <c r="E24" i="3"/>
  <c r="F24" i="3" s="1"/>
  <c r="E25" i="3"/>
  <c r="F25" i="3" s="1"/>
  <c r="E26" i="3"/>
  <c r="F26" i="3" s="1"/>
  <c r="E27" i="3"/>
  <c r="F27" i="3" s="1"/>
  <c r="E28" i="3"/>
  <c r="F28" i="3" s="1"/>
  <c r="E29" i="3"/>
  <c r="E30" i="3"/>
  <c r="F30" i="3" s="1"/>
  <c r="E31" i="3"/>
  <c r="E32" i="3"/>
  <c r="F32" i="3" s="1"/>
  <c r="E33" i="3"/>
  <c r="F33" i="3" s="1"/>
  <c r="E34" i="3"/>
  <c r="F34" i="3" s="1"/>
  <c r="E35" i="3"/>
  <c r="F35" i="3" s="1"/>
  <c r="E36" i="3"/>
  <c r="F36" i="3" s="1"/>
  <c r="E37" i="3"/>
  <c r="F37" i="3" s="1"/>
  <c r="E38" i="3"/>
  <c r="F38" i="3" s="1"/>
  <c r="E39" i="3"/>
  <c r="E40" i="3"/>
  <c r="F40" i="3" s="1"/>
  <c r="E41" i="3"/>
  <c r="E42" i="3"/>
  <c r="F42" i="3" s="1"/>
  <c r="E43" i="3"/>
  <c r="E44" i="3"/>
  <c r="F44" i="3" s="1"/>
  <c r="E45" i="3"/>
  <c r="F45" i="3" s="1"/>
  <c r="E46" i="3"/>
  <c r="F46" i="3" s="1"/>
  <c r="E47" i="3"/>
  <c r="F47" i="3" s="1"/>
  <c r="E48" i="3"/>
  <c r="F48" i="3" s="1"/>
  <c r="E49" i="3"/>
  <c r="F49" i="3" s="1"/>
  <c r="E2" i="3"/>
  <c r="G8" i="2"/>
  <c r="G10" i="2"/>
  <c r="G32" i="2"/>
  <c r="G44" i="2"/>
  <c r="G46" i="2"/>
  <c r="D2" i="1"/>
  <c r="E2" i="1" s="1"/>
  <c r="E3" i="2"/>
  <c r="G3" i="2" s="1"/>
  <c r="E4" i="2"/>
  <c r="G4" i="2" s="1"/>
  <c r="E5" i="2"/>
  <c r="F5" i="2" s="1"/>
  <c r="E6" i="2"/>
  <c r="G6" i="2" s="1"/>
  <c r="E7" i="2"/>
  <c r="G7" i="2" s="1"/>
  <c r="E8" i="2"/>
  <c r="E9" i="2"/>
  <c r="F9" i="2" s="1"/>
  <c r="E10" i="2"/>
  <c r="F10" i="2" s="1"/>
  <c r="E11" i="2"/>
  <c r="G11" i="2" s="1"/>
  <c r="E12" i="2"/>
  <c r="F12" i="2" s="1"/>
  <c r="E13" i="2"/>
  <c r="F13" i="2" s="1"/>
  <c r="E14" i="2"/>
  <c r="F14" i="2" s="1"/>
  <c r="E15" i="2"/>
  <c r="G15" i="2" s="1"/>
  <c r="E16" i="2"/>
  <c r="F16" i="2" s="1"/>
  <c r="E17" i="2"/>
  <c r="G17" i="2" s="1"/>
  <c r="E18" i="2"/>
  <c r="G18" i="2" s="1"/>
  <c r="E19" i="2"/>
  <c r="G19" i="2" s="1"/>
  <c r="E20" i="2"/>
  <c r="F20" i="2" s="1"/>
  <c r="E21" i="2"/>
  <c r="F21" i="2" s="1"/>
  <c r="E22" i="2"/>
  <c r="G22" i="2" s="1"/>
  <c r="E23" i="2"/>
  <c r="F23" i="2" s="1"/>
  <c r="E24" i="2"/>
  <c r="F24" i="2" s="1"/>
  <c r="E25" i="2"/>
  <c r="F25" i="2" s="1"/>
  <c r="E26" i="2"/>
  <c r="G26" i="2" s="1"/>
  <c r="E27" i="2"/>
  <c r="F27" i="2" s="1"/>
  <c r="E28" i="2"/>
  <c r="F28" i="2" s="1"/>
  <c r="E29" i="2"/>
  <c r="F29" i="2" s="1"/>
  <c r="E30" i="2"/>
  <c r="G30" i="2" s="1"/>
  <c r="E31" i="2"/>
  <c r="G31" i="2" s="1"/>
  <c r="E32" i="2"/>
  <c r="F32" i="2" s="1"/>
  <c r="E33" i="2"/>
  <c r="F33" i="2" s="1"/>
  <c r="E34" i="2"/>
  <c r="G34" i="2" s="1"/>
  <c r="E35" i="2"/>
  <c r="F35" i="2" s="1"/>
  <c r="E36" i="2"/>
  <c r="F36" i="2" s="1"/>
  <c r="E37" i="2"/>
  <c r="F37" i="2" s="1"/>
  <c r="E38" i="2"/>
  <c r="G38" i="2" s="1"/>
  <c r="E39" i="2"/>
  <c r="F39" i="2" s="1"/>
  <c r="E40" i="2"/>
  <c r="F40" i="2" s="1"/>
  <c r="E41" i="2"/>
  <c r="G41" i="2" s="1"/>
  <c r="E42" i="2"/>
  <c r="G42" i="2" s="1"/>
  <c r="E43" i="2"/>
  <c r="G43" i="2" s="1"/>
  <c r="E44" i="2"/>
  <c r="F44" i="2" s="1"/>
  <c r="E45" i="2"/>
  <c r="F45" i="2" s="1"/>
  <c r="E46" i="2"/>
  <c r="E47" i="2"/>
  <c r="F47" i="2" s="1"/>
  <c r="E48" i="2"/>
  <c r="F48" i="2" s="1"/>
  <c r="E49" i="2"/>
  <c r="F49" i="2" s="1"/>
  <c r="E2" i="2"/>
  <c r="G2" i="2" s="1"/>
  <c r="F2" i="2"/>
  <c r="F3" i="2"/>
  <c r="F6" i="2"/>
  <c r="F8" i="2"/>
  <c r="F18" i="2"/>
  <c r="F19" i="2"/>
  <c r="F22" i="2"/>
  <c r="F26" i="2"/>
  <c r="F30" i="2"/>
  <c r="F34" i="2"/>
  <c r="F38" i="2"/>
  <c r="F42" i="2"/>
  <c r="F43" i="2"/>
  <c r="F46" i="2"/>
  <c r="E3" i="1"/>
  <c r="E6" i="1"/>
  <c r="E9" i="1"/>
  <c r="E11" i="1"/>
  <c r="E12" i="1"/>
  <c r="D3" i="1"/>
  <c r="D4" i="1"/>
  <c r="E4" i="1" s="1"/>
  <c r="D5" i="1"/>
  <c r="E5" i="1" s="1"/>
  <c r="D6" i="1"/>
  <c r="D7" i="1"/>
  <c r="E7" i="1" s="1"/>
  <c r="D8" i="1"/>
  <c r="E8" i="1" s="1"/>
  <c r="D9" i="1"/>
  <c r="D10" i="1"/>
  <c r="E10" i="1" s="1"/>
  <c r="D11" i="1"/>
  <c r="D12" i="1"/>
  <c r="D13" i="1"/>
  <c r="E13" i="1" s="1"/>
  <c r="G48" i="2" l="1"/>
  <c r="G12" i="2"/>
  <c r="J42" i="2"/>
  <c r="K42" i="2" s="1"/>
  <c r="J43" i="2"/>
  <c r="K43" i="2" s="1"/>
  <c r="F41" i="2"/>
  <c r="F17" i="2"/>
  <c r="G5" i="2"/>
  <c r="J31" i="2"/>
  <c r="K31" i="2" s="1"/>
  <c r="G36" i="2"/>
  <c r="F31" i="2"/>
  <c r="F7" i="2"/>
  <c r="G29" i="2"/>
  <c r="E3" i="4"/>
  <c r="F3" i="4"/>
  <c r="J24" i="2"/>
  <c r="K24" i="2" s="1"/>
  <c r="G24" i="2"/>
  <c r="G20" i="2"/>
  <c r="E7" i="4"/>
  <c r="E5" i="4"/>
  <c r="E6" i="4"/>
  <c r="E2" i="4"/>
  <c r="G40" i="2"/>
  <c r="G16" i="2"/>
  <c r="G39" i="2"/>
  <c r="G27" i="2"/>
  <c r="F15" i="2"/>
  <c r="G49" i="2"/>
  <c r="G37" i="2"/>
  <c r="G25" i="2"/>
  <c r="G13" i="2"/>
  <c r="F11" i="2"/>
  <c r="G47" i="2"/>
  <c r="G35" i="2"/>
  <c r="G23" i="2"/>
  <c r="G28" i="2"/>
  <c r="G45" i="2"/>
  <c r="G33" i="2"/>
  <c r="G21" i="2"/>
  <c r="G9" i="2"/>
  <c r="F4" i="2"/>
  <c r="G14" i="2"/>
</calcChain>
</file>

<file path=xl/sharedStrings.xml><?xml version="1.0" encoding="utf-8"?>
<sst xmlns="http://schemas.openxmlformats.org/spreadsheetml/2006/main" count="284" uniqueCount="55">
  <si>
    <t>Month</t>
  </si>
  <si>
    <t>Budget Revenue</t>
  </si>
  <si>
    <t>Actual Revenue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</si>
  <si>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</si>
  <si>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</si>
  <si>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</si>
  <si>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</si>
  <si>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</si>
  <si>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</si>
  <si>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</si>
  <si>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</si>
  <si>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</si>
  <si>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</si>
  <si>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</si>
  <si>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</si>
  <si>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Department</t>
  </si>
  <si>
    <t>Budget</t>
  </si>
  <si>
    <t>Actual</t>
  </si>
  <si>
    <t>Sales</t>
  </si>
  <si>
    <t>Marketing</t>
  </si>
  <si>
    <t>R&amp;D</t>
  </si>
  <si>
    <t>G&amp;A</t>
  </si>
  <si>
    <t>Budget HC</t>
  </si>
  <si>
    <t>Actual HC</t>
  </si>
  <si>
    <t>Metric</t>
  </si>
  <si>
    <t>ARR Growth</t>
  </si>
  <si>
    <t>Gross Margin</t>
  </si>
  <si>
    <t>EBITDA Margin</t>
  </si>
  <si>
    <t>Churn Rate</t>
  </si>
  <si>
    <t>Revenue  Variance</t>
  </si>
  <si>
    <t>Revenue Variance %</t>
  </si>
  <si>
    <t>Revenue miss has remained persistent throughout the year, indicating structural weakness in demand generation rather than one-time execution issues</t>
  </si>
  <si>
    <t xml:space="preserve">Variance </t>
  </si>
  <si>
    <t>Variance %</t>
  </si>
  <si>
    <t>Fav/UnFav</t>
  </si>
  <si>
    <t>HC Variance</t>
  </si>
  <si>
    <t>HC Variance %</t>
  </si>
  <si>
    <t>Marketing overspend was primarily driven by headcount growth.</t>
  </si>
  <si>
    <t>R&amp;D underspend was largely driven by slower hiring.</t>
  </si>
  <si>
    <t>G&amp;A savings were driven by non-payroll expense reductions rather than headcount changes.</t>
  </si>
  <si>
    <t>Unfavorable</t>
  </si>
  <si>
    <t>Favorable</t>
  </si>
  <si>
    <t>Actual Cost per HC</t>
  </si>
  <si>
    <t>Budget Cost per HC</t>
  </si>
  <si>
    <t xml:space="preserve">Cost Per HC Variance </t>
  </si>
  <si>
    <t>Cost Per HC Variance %</t>
  </si>
  <si>
    <t>Sales overspend was primarily driven by higher headcount, with a smaller contribution from higher per-employee costs.</t>
  </si>
  <si>
    <t>Marketing overspend was almost entirely driven by headcount growth, while unit cost remained stable.</t>
  </si>
  <si>
    <t>R&amp;D underspend was mainly attributable to slower hiring, partially offset by slightly higher per-employee costs.</t>
  </si>
  <si>
    <t>G&amp;A savings were entirely driven by lower non-payroll spending rather than workforce changes.</t>
  </si>
  <si>
    <t xml:space="preserve">Revenue </t>
  </si>
  <si>
    <t>OPEX</t>
  </si>
  <si>
    <t>Total HC</t>
  </si>
  <si>
    <t>Variance%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</si>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</sst>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1" applyNumberFormat="1" applyFont="1"/>
    <xf numFmtId="10" fontId="0" fillId="0" borderId="0" xfId="1" applyNumberFormat="1" applyFont="1"/>
    <xf numFmtId="9" fontId="0" fillId="0" borderId="0" xfId="1" applyNumberFormat="1" applyFont="1"/>
    <xf numFmtId="0" fontId="2" fillId="0" borderId="0" xfId="0" applyFont="1"/>
    <xf numFmtId="2" fontId="0" fillId="0" borderId="0" xfId="0" applyNumberFormat="1"/>
    <xf numFmtId="4" fontId="0" fillId="0" borderId="0" xfId="0" applyNumberFormat="1"/>
    <xf numFmtId="3" fontId="0" fillId="0" borderId="0" xfId="0" applyNumberFormat="1"/>
  </cellXfs>
  <cellStyles count="2">
    <cellStyle name="Normal" xfId="0" builtinId="0"/>
    <cellStyle name="Percent" xfId="1" builtinId="5"/>
  </cellStyles>
  <dxfs count="4"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13" formatCode="0%"/>
    </dxf>
    <dxf>
      <numFmt numFmtId="14" formatCode="0.00%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F0F612-1250-411E-AF8C-4AB1726F3615}" name="Table24" displayName="Table24" ref="B2:C6" totalsRowShown="0">
  <autoFilter ref="B2:C6" xr:uid="{2AF0F612-1250-411E-AF8C-4AB1726F3615}"/>
  <tableColumns count="2">
    <tableColumn id="1" xr3:uid="{98C3BE73-81BA-42C9-8D5C-E3C9AA77720E}" name="Department"/>
    <tableColumn id="2" xr3:uid="{6B0951AD-D786-4783-A4B0-46DC3D1FC62F}" name="HC Variance %" dataDxfId="3" dataCellStyle="Percent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4AB685-A575-4CCA-A350-B78BC23D203E}" name="Table2" displayName="Table2" ref="E2:G6" totalsRowShown="0">
  <autoFilter ref="E2:G6" xr:uid="{944AB685-A575-4CCA-A350-B78BC23D203E}"/>
  <tableColumns count="3">
    <tableColumn id="1" xr3:uid="{5C37798A-7FB9-46AC-AC3B-DB693BF4619A}" name="Department"/>
    <tableColumn id="2" xr3:uid="{6C7FFCAF-8C7E-4E18-ACB8-4BE307F3FE6F}" name="Variance %" dataDxfId="2" dataCellStyle="Percent"/>
    <tableColumn id="3" xr3:uid="{7C5B65C0-740F-4DC1-AC85-3EC5F81DE89E}" name="Fav/UnFav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D633FE6-8A27-4244-836C-12B6CBA608D7}" name="Table4" displayName="Table4" ref="B21:C33" totalsRowShown="0">
  <autoFilter ref="B21:C33" xr:uid="{0D633FE6-8A27-4244-836C-12B6CBA608D7}"/>
  <tableColumns count="2">
    <tableColumn id="1" xr3:uid="{312E0BD0-7F6E-43FD-8F07-AF50F03FDA5E}" name="Month"/>
    <tableColumn id="2" xr3:uid="{A67BF153-C447-4640-873C-7EE57FCC2920}" name="Revenue Variance %" dataDxfId="1" dataCellStyle="Percent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02CFFBF-82D2-4336-A688-3A0836060DAE}" name="Table248" displayName="Table248" ref="J2:K6" totalsRowShown="0">
  <autoFilter ref="J2:K6" xr:uid="{B02CFFBF-82D2-4336-A688-3A0836060DAE}"/>
  <tableColumns count="2">
    <tableColumn id="1" xr3:uid="{9EFF0887-6B29-4F7F-8541-CBE0983000B9}" name="Department"/>
    <tableColumn id="2" xr3:uid="{30BFB37A-00BB-4068-909E-0705EEC3D807}" name="Cost Per HC Variance %" dataDxfId="0" dataCellStyle="Percent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A16" sqref="A16:M19"/>
    </sheetView>
  </sheetViews>
  <sheetFormatPr defaultRowHeight="15" x14ac:dyDescent="0.25"/>
  <cols>
    <col min="2" max="2" width="15.7109375" bestFit="1" customWidth="1"/>
    <col min="3" max="3" width="15" bestFit="1" customWidth="1"/>
    <col min="4" max="4" width="17.7109375" bestFit="1" customWidth="1"/>
    <col min="5" max="5" width="19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29</v>
      </c>
      <c r="E1" t="s">
        <v>30</v>
      </c>
    </row>
    <row r="2" spans="1:5" x14ac:dyDescent="0.25">
      <c r="A2" t="s">
        <v>3</v>
      </c>
      <c r="B2">
        <v>3000000</v>
      </c>
      <c r="C2">
        <v>2920000</v>
      </c>
      <c r="D2">
        <f>C2-B2</f>
        <v>-80000</v>
      </c>
      <c r="E2" s="2">
        <f>IFERROR(D2/B2,0)</f>
        <v>-2.6666666666666668E-2</v>
      </c>
    </row>
    <row r="3" spans="1:5" x14ac:dyDescent="0.25">
      <c r="A3" t="s">
        <v>4</v>
      </c>
      <c r="B3">
        <v>3100000</v>
      </c>
      <c r="C3">
        <v>3050000</v>
      </c>
      <c r="D3">
        <f t="shared" ref="D3:D13" si="0">C3-B3</f>
        <v>-50000</v>
      </c>
      <c r="E3" s="2">
        <f t="shared" ref="E3:E13" si="1">IFERROR(D3/B3,0)</f>
        <v>-1.6129032258064516E-2</v>
      </c>
    </row>
    <row r="4" spans="1:5" x14ac:dyDescent="0.25">
      <c r="A4" t="s">
        <v>5</v>
      </c>
      <c r="B4">
        <v>3250000</v>
      </c>
      <c r="C4">
        <v>3180000</v>
      </c>
      <c r="D4">
        <f t="shared" si="0"/>
        <v>-70000</v>
      </c>
      <c r="E4" s="2">
        <f t="shared" si="1"/>
        <v>-2.1538461538461538E-2</v>
      </c>
    </row>
    <row r="5" spans="1:5" x14ac:dyDescent="0.25">
      <c r="A5" t="s">
        <v>6</v>
      </c>
      <c r="B5">
        <v>3300000</v>
      </c>
      <c r="C5">
        <v>3270000</v>
      </c>
      <c r="D5">
        <f t="shared" si="0"/>
        <v>-30000</v>
      </c>
      <c r="E5" s="2">
        <f t="shared" si="1"/>
        <v>-9.0909090909090905E-3</v>
      </c>
    </row>
    <row r="6" spans="1:5" x14ac:dyDescent="0.25">
      <c r="A6" t="s">
        <v>7</v>
      </c>
      <c r="B6">
        <v>3350000</v>
      </c>
      <c r="C6">
        <v>3310000</v>
      </c>
      <c r="D6">
        <f t="shared" si="0"/>
        <v>-40000</v>
      </c>
      <c r="E6" s="2">
        <f t="shared" si="1"/>
        <v>-1.1940298507462687E-2</v>
      </c>
    </row>
    <row r="7" spans="1:5" x14ac:dyDescent="0.25">
      <c r="A7" t="s">
        <v>8</v>
      </c>
      <c r="B7">
        <v>3400000</v>
      </c>
      <c r="C7">
        <v>3360000</v>
      </c>
      <c r="D7">
        <f t="shared" si="0"/>
        <v>-40000</v>
      </c>
      <c r="E7" s="2">
        <f t="shared" si="1"/>
        <v>-1.1764705882352941E-2</v>
      </c>
    </row>
    <row r="8" spans="1:5" x14ac:dyDescent="0.25">
      <c r="A8" t="s">
        <v>9</v>
      </c>
      <c r="B8">
        <v>3450000</v>
      </c>
      <c r="C8">
        <v>3380000</v>
      </c>
      <c r="D8">
        <f t="shared" si="0"/>
        <v>-70000</v>
      </c>
      <c r="E8" s="2">
        <f t="shared" si="1"/>
        <v>-2.0289855072463767E-2</v>
      </c>
    </row>
    <row r="9" spans="1:5" x14ac:dyDescent="0.25">
      <c r="A9" t="s">
        <v>10</v>
      </c>
      <c r="B9">
        <v>3500000</v>
      </c>
      <c r="C9">
        <v>3440000</v>
      </c>
      <c r="D9">
        <f t="shared" si="0"/>
        <v>-60000</v>
      </c>
      <c r="E9" s="2">
        <f t="shared" si="1"/>
        <v>-1.7142857142857144E-2</v>
      </c>
    </row>
    <row r="10" spans="1:5" x14ac:dyDescent="0.25">
      <c r="A10" t="s">
        <v>11</v>
      </c>
      <c r="B10">
        <v>3550000</v>
      </c>
      <c r="C10">
        <v>3490000</v>
      </c>
      <c r="D10">
        <f t="shared" si="0"/>
        <v>-60000</v>
      </c>
      <c r="E10" s="2">
        <f t="shared" si="1"/>
        <v>-1.6901408450704224E-2</v>
      </c>
    </row>
    <row r="11" spans="1:5" x14ac:dyDescent="0.25">
      <c r="A11" t="s">
        <v>12</v>
      </c>
      <c r="B11">
        <v>3600000</v>
      </c>
      <c r="C11">
        <v>3510000</v>
      </c>
      <c r="D11">
        <f t="shared" si="0"/>
        <v>-90000</v>
      </c>
      <c r="E11" s="2">
        <f t="shared" si="1"/>
        <v>-2.5000000000000001E-2</v>
      </c>
    </row>
    <row r="12" spans="1:5" x14ac:dyDescent="0.25">
      <c r="A12" t="s">
        <v>13</v>
      </c>
      <c r="B12">
        <v>3650000</v>
      </c>
      <c r="C12">
        <v>3590000</v>
      </c>
      <c r="D12">
        <f t="shared" si="0"/>
        <v>-60000</v>
      </c>
      <c r="E12" s="2">
        <f t="shared" si="1"/>
        <v>-1.643835616438356E-2</v>
      </c>
    </row>
    <row r="13" spans="1:5" x14ac:dyDescent="0.25">
      <c r="A13" t="s">
        <v>14</v>
      </c>
      <c r="B13">
        <v>3750000</v>
      </c>
      <c r="C13">
        <v>3680000</v>
      </c>
      <c r="D13">
        <f t="shared" si="0"/>
        <v>-70000</v>
      </c>
      <c r="E13" s="2">
        <f t="shared" si="1"/>
        <v>-1.8666666666666668E-2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9"/>
  <sheetViews>
    <sheetView workbookViewId="0">
      <selection activeCell="M19" sqref="M19:T22"/>
    </sheetView>
  </sheetViews>
  <sheetFormatPr defaultRowHeight="15" x14ac:dyDescent="0.25"/>
  <cols>
    <col min="2" max="2" width="11.7109375" bestFit="1" customWidth="1"/>
    <col min="6" max="6" width="10.7109375" bestFit="1" customWidth="1"/>
    <col min="7" max="7" width="11.85546875" bestFit="1" customWidth="1"/>
    <col min="8" max="8" width="17.42578125" bestFit="1" customWidth="1"/>
    <col min="9" max="9" width="18.140625" bestFit="1" customWidth="1"/>
    <col min="10" max="10" width="20" bestFit="1" customWidth="1"/>
    <col min="11" max="11" width="21.7109375" bestFit="1" customWidth="1"/>
    <col min="14" max="14" width="23" customWidth="1"/>
    <col min="15" max="15" width="13" bestFit="1" customWidth="1"/>
    <col min="16" max="16" width="12.7109375" bestFit="1" customWidth="1"/>
  </cols>
  <sheetData>
    <row r="1" spans="1:11" x14ac:dyDescent="0.25">
      <c r="A1" t="s">
        <v>0</v>
      </c>
      <c r="B1" t="s">
        <v>15</v>
      </c>
      <c r="C1" t="s">
        <v>16</v>
      </c>
      <c r="D1" t="s">
        <v>17</v>
      </c>
      <c r="E1" t="s">
        <v>32</v>
      </c>
      <c r="F1" t="s">
        <v>33</v>
      </c>
      <c r="G1" t="s">
        <v>34</v>
      </c>
      <c r="H1" t="s">
        <v>42</v>
      </c>
      <c r="I1" t="s">
        <v>43</v>
      </c>
      <c r="J1" t="s">
        <v>44</v>
      </c>
      <c r="K1" t="s">
        <v>45</v>
      </c>
    </row>
    <row r="2" spans="1:11" x14ac:dyDescent="0.25">
      <c r="A2" t="s">
        <v>3</v>
      </c>
      <c r="B2" t="s">
        <v>18</v>
      </c>
      <c r="C2">
        <v>500000</v>
      </c>
      <c r="D2">
        <v>530000</v>
      </c>
      <c r="E2">
        <f>D2-C2</f>
        <v>30000</v>
      </c>
      <c r="F2" s="1">
        <f>IFERROR(E2/C2,0)</f>
        <v>0.06</v>
      </c>
      <c r="G2" t="str">
        <f>IF(E2&gt;0, "Unfavorable","Favorable")</f>
        <v>Unfavorable</v>
      </c>
      <c r="H2" s="5">
        <f>D2/Headcount!D2</f>
        <v>11276.595744680852</v>
      </c>
      <c r="I2" s="5">
        <f>C2/Headcount!C2</f>
        <v>11111.111111111111</v>
      </c>
      <c r="J2" s="5">
        <f>H2-I2</f>
        <v>165.48463356974025</v>
      </c>
      <c r="K2" s="2">
        <f>IFERROR(J2/I2,0)</f>
        <v>1.4893617021276622E-2</v>
      </c>
    </row>
    <row r="3" spans="1:11" x14ac:dyDescent="0.25">
      <c r="A3" t="s">
        <v>3</v>
      </c>
      <c r="B3" t="s">
        <v>19</v>
      </c>
      <c r="C3">
        <v>350000</v>
      </c>
      <c r="D3">
        <v>388500</v>
      </c>
      <c r="E3">
        <f t="shared" ref="E3:E49" si="0">D3-C3</f>
        <v>38500</v>
      </c>
      <c r="F3" s="1">
        <f t="shared" ref="F3:F49" si="1">IFERROR(E3/C3,0)</f>
        <v>0.11</v>
      </c>
      <c r="G3" t="str">
        <f t="shared" ref="G3:G49" si="2">IF(E3&gt;0, "Unfavorable","Favorable")</f>
        <v>Unfavorable</v>
      </c>
      <c r="H3" s="5">
        <f>D3/Headcount!D3</f>
        <v>19425</v>
      </c>
      <c r="I3" s="5">
        <f>C3/Headcount!C3</f>
        <v>19444.444444444445</v>
      </c>
      <c r="J3" s="5">
        <f t="shared" ref="J3:J49" si="3">H3-I3</f>
        <v>-19.444444444445253</v>
      </c>
      <c r="K3" s="2">
        <f t="shared" ref="K3:K49" si="4">IFERROR(J3/I3,0)</f>
        <v>-1.0000000000000414E-3</v>
      </c>
    </row>
    <row r="4" spans="1:11" x14ac:dyDescent="0.25">
      <c r="A4" t="s">
        <v>3</v>
      </c>
      <c r="B4" t="s">
        <v>20</v>
      </c>
      <c r="C4">
        <v>420000</v>
      </c>
      <c r="D4">
        <v>411600</v>
      </c>
      <c r="E4">
        <f t="shared" si="0"/>
        <v>-8400</v>
      </c>
      <c r="F4" s="1">
        <f t="shared" si="1"/>
        <v>-0.02</v>
      </c>
      <c r="G4" t="str">
        <f t="shared" si="2"/>
        <v>Favorable</v>
      </c>
      <c r="H4" s="5">
        <f>D4/Headcount!D4</f>
        <v>6052.9411764705883</v>
      </c>
      <c r="I4" s="5">
        <f>C4/Headcount!C4</f>
        <v>6000</v>
      </c>
      <c r="J4" s="5">
        <f t="shared" si="3"/>
        <v>52.941176470588289</v>
      </c>
      <c r="K4" s="2">
        <f t="shared" si="4"/>
        <v>8.8235294117647144E-3</v>
      </c>
    </row>
    <row r="5" spans="1:11" x14ac:dyDescent="0.25">
      <c r="A5" t="s">
        <v>3</v>
      </c>
      <c r="B5" t="s">
        <v>21</v>
      </c>
      <c r="C5">
        <v>220000</v>
      </c>
      <c r="D5">
        <v>204600</v>
      </c>
      <c r="E5">
        <f t="shared" si="0"/>
        <v>-15400</v>
      </c>
      <c r="F5" s="1">
        <f t="shared" si="1"/>
        <v>-7.0000000000000007E-2</v>
      </c>
      <c r="G5" t="str">
        <f t="shared" si="2"/>
        <v>Favorable</v>
      </c>
      <c r="H5" s="5">
        <f>D5/Headcount!D5</f>
        <v>13640</v>
      </c>
      <c r="I5" s="5">
        <f>C5/Headcount!C5</f>
        <v>14666.666666666666</v>
      </c>
      <c r="J5" s="5">
        <f t="shared" si="3"/>
        <v>-1026.6666666666661</v>
      </c>
      <c r="K5" s="2">
        <f t="shared" si="4"/>
        <v>-6.9999999999999965E-2</v>
      </c>
    </row>
    <row r="6" spans="1:11" x14ac:dyDescent="0.25">
      <c r="A6" t="s">
        <v>4</v>
      </c>
      <c r="B6" t="s">
        <v>18</v>
      </c>
      <c r="C6">
        <v>500000</v>
      </c>
      <c r="D6">
        <v>530000</v>
      </c>
      <c r="E6">
        <f t="shared" si="0"/>
        <v>30000</v>
      </c>
      <c r="F6" s="1">
        <f t="shared" si="1"/>
        <v>0.06</v>
      </c>
      <c r="G6" t="str">
        <f t="shared" si="2"/>
        <v>Unfavorable</v>
      </c>
      <c r="H6" s="5">
        <f>D6/Headcount!D6</f>
        <v>11276.595744680852</v>
      </c>
      <c r="I6" s="5">
        <f>C6/Headcount!C6</f>
        <v>11111.111111111111</v>
      </c>
      <c r="J6" s="5">
        <f t="shared" si="3"/>
        <v>165.48463356974025</v>
      </c>
      <c r="K6" s="2">
        <f t="shared" si="4"/>
        <v>1.4893617021276622E-2</v>
      </c>
    </row>
    <row r="7" spans="1:11" x14ac:dyDescent="0.25">
      <c r="A7" t="s">
        <v>4</v>
      </c>
      <c r="B7" t="s">
        <v>19</v>
      </c>
      <c r="C7">
        <v>350000</v>
      </c>
      <c r="D7">
        <v>388500</v>
      </c>
      <c r="E7">
        <f t="shared" si="0"/>
        <v>38500</v>
      </c>
      <c r="F7" s="1">
        <f t="shared" si="1"/>
        <v>0.11</v>
      </c>
      <c r="G7" t="str">
        <f t="shared" si="2"/>
        <v>Unfavorable</v>
      </c>
      <c r="H7" s="5">
        <f>D7/Headcount!D7</f>
        <v>19425</v>
      </c>
      <c r="I7" s="5">
        <f>C7/Headcount!C7</f>
        <v>19444.444444444445</v>
      </c>
      <c r="J7" s="5">
        <f t="shared" si="3"/>
        <v>-19.444444444445253</v>
      </c>
      <c r="K7" s="2">
        <f t="shared" si="4"/>
        <v>-1.0000000000000414E-3</v>
      </c>
    </row>
    <row r="8" spans="1:11" x14ac:dyDescent="0.25">
      <c r="A8" t="s">
        <v>4</v>
      </c>
      <c r="B8" t="s">
        <v>20</v>
      </c>
      <c r="C8">
        <v>420000</v>
      </c>
      <c r="D8">
        <v>411600</v>
      </c>
      <c r="E8">
        <f t="shared" si="0"/>
        <v>-8400</v>
      </c>
      <c r="F8" s="1">
        <f t="shared" si="1"/>
        <v>-0.02</v>
      </c>
      <c r="G8" t="str">
        <f t="shared" si="2"/>
        <v>Favorable</v>
      </c>
      <c r="H8" s="5">
        <f>D8/Headcount!D8</f>
        <v>6052.9411764705883</v>
      </c>
      <c r="I8" s="5">
        <f>C8/Headcount!C8</f>
        <v>6000</v>
      </c>
      <c r="J8" s="5">
        <f t="shared" si="3"/>
        <v>52.941176470588289</v>
      </c>
      <c r="K8" s="2">
        <f t="shared" si="4"/>
        <v>8.8235294117647144E-3</v>
      </c>
    </row>
    <row r="9" spans="1:11" x14ac:dyDescent="0.25">
      <c r="A9" t="s">
        <v>4</v>
      </c>
      <c r="B9" t="s">
        <v>21</v>
      </c>
      <c r="C9">
        <v>220000</v>
      </c>
      <c r="D9">
        <v>204600</v>
      </c>
      <c r="E9">
        <f t="shared" si="0"/>
        <v>-15400</v>
      </c>
      <c r="F9" s="1">
        <f t="shared" si="1"/>
        <v>-7.0000000000000007E-2</v>
      </c>
      <c r="G9" t="str">
        <f t="shared" si="2"/>
        <v>Favorable</v>
      </c>
      <c r="H9" s="5">
        <f>D9/Headcount!D9</f>
        <v>13640</v>
      </c>
      <c r="I9" s="5">
        <f>C9/Headcount!C9</f>
        <v>14666.666666666666</v>
      </c>
      <c r="J9" s="5">
        <f t="shared" si="3"/>
        <v>-1026.6666666666661</v>
      </c>
      <c r="K9" s="2">
        <f t="shared" si="4"/>
        <v>-6.9999999999999965E-2</v>
      </c>
    </row>
    <row r="10" spans="1:11" x14ac:dyDescent="0.25">
      <c r="A10" t="s">
        <v>5</v>
      </c>
      <c r="B10" t="s">
        <v>18</v>
      </c>
      <c r="C10">
        <v>500000</v>
      </c>
      <c r="D10">
        <v>530000</v>
      </c>
      <c r="E10">
        <f t="shared" si="0"/>
        <v>30000</v>
      </c>
      <c r="F10" s="1">
        <f t="shared" si="1"/>
        <v>0.06</v>
      </c>
      <c r="G10" t="str">
        <f t="shared" si="2"/>
        <v>Unfavorable</v>
      </c>
      <c r="H10" s="5">
        <f>D10/Headcount!D10</f>
        <v>11276.595744680852</v>
      </c>
      <c r="I10" s="5">
        <f>C10/Headcount!C10</f>
        <v>11111.111111111111</v>
      </c>
      <c r="J10" s="5">
        <f t="shared" si="3"/>
        <v>165.48463356974025</v>
      </c>
      <c r="K10" s="2">
        <f t="shared" si="4"/>
        <v>1.4893617021276622E-2</v>
      </c>
    </row>
    <row r="11" spans="1:11" x14ac:dyDescent="0.25">
      <c r="A11" t="s">
        <v>5</v>
      </c>
      <c r="B11" t="s">
        <v>19</v>
      </c>
      <c r="C11">
        <v>350000</v>
      </c>
      <c r="D11">
        <v>388500</v>
      </c>
      <c r="E11">
        <f t="shared" si="0"/>
        <v>38500</v>
      </c>
      <c r="F11" s="1">
        <f t="shared" si="1"/>
        <v>0.11</v>
      </c>
      <c r="G11" t="str">
        <f t="shared" si="2"/>
        <v>Unfavorable</v>
      </c>
      <c r="H11" s="5">
        <f>D11/Headcount!D11</f>
        <v>19425</v>
      </c>
      <c r="I11" s="5">
        <f>C11/Headcount!C11</f>
        <v>19444.444444444445</v>
      </c>
      <c r="J11" s="5">
        <f t="shared" si="3"/>
        <v>-19.444444444445253</v>
      </c>
      <c r="K11" s="2">
        <f t="shared" si="4"/>
        <v>-1.0000000000000414E-3</v>
      </c>
    </row>
    <row r="12" spans="1:11" x14ac:dyDescent="0.25">
      <c r="A12" t="s">
        <v>5</v>
      </c>
      <c r="B12" t="s">
        <v>20</v>
      </c>
      <c r="C12">
        <v>420000</v>
      </c>
      <c r="D12">
        <v>411600</v>
      </c>
      <c r="E12">
        <f t="shared" si="0"/>
        <v>-8400</v>
      </c>
      <c r="F12" s="1">
        <f t="shared" si="1"/>
        <v>-0.02</v>
      </c>
      <c r="G12" t="str">
        <f t="shared" si="2"/>
        <v>Favorable</v>
      </c>
      <c r="H12" s="5">
        <f>D12/Headcount!D12</f>
        <v>6052.9411764705883</v>
      </c>
      <c r="I12" s="5">
        <f>C12/Headcount!C12</f>
        <v>6000</v>
      </c>
      <c r="J12" s="5">
        <f t="shared" si="3"/>
        <v>52.941176470588289</v>
      </c>
      <c r="K12" s="2">
        <f t="shared" si="4"/>
        <v>8.8235294117647144E-3</v>
      </c>
    </row>
    <row r="13" spans="1:11" x14ac:dyDescent="0.25">
      <c r="A13" t="s">
        <v>5</v>
      </c>
      <c r="B13" t="s">
        <v>21</v>
      </c>
      <c r="C13">
        <v>220000</v>
      </c>
      <c r="D13">
        <v>204600</v>
      </c>
      <c r="E13">
        <f t="shared" si="0"/>
        <v>-15400</v>
      </c>
      <c r="F13" s="1">
        <f t="shared" si="1"/>
        <v>-7.0000000000000007E-2</v>
      </c>
      <c r="G13" t="str">
        <f t="shared" si="2"/>
        <v>Favorable</v>
      </c>
      <c r="H13" s="5">
        <f>D13/Headcount!D13</f>
        <v>13640</v>
      </c>
      <c r="I13" s="5">
        <f>C13/Headcount!C13</f>
        <v>14666.666666666666</v>
      </c>
      <c r="J13" s="5">
        <f t="shared" si="3"/>
        <v>-1026.6666666666661</v>
      </c>
      <c r="K13" s="2">
        <f t="shared" si="4"/>
        <v>-6.9999999999999965E-2</v>
      </c>
    </row>
    <row r="14" spans="1:11" x14ac:dyDescent="0.25">
      <c r="A14" t="s">
        <v>6</v>
      </c>
      <c r="B14" t="s">
        <v>18</v>
      </c>
      <c r="C14">
        <v>500000</v>
      </c>
      <c r="D14">
        <v>530000</v>
      </c>
      <c r="E14">
        <f t="shared" si="0"/>
        <v>30000</v>
      </c>
      <c r="F14" s="1">
        <f t="shared" si="1"/>
        <v>0.06</v>
      </c>
      <c r="G14" t="str">
        <f t="shared" si="2"/>
        <v>Unfavorable</v>
      </c>
      <c r="H14" s="5">
        <f>D14/Headcount!D14</f>
        <v>11276.595744680852</v>
      </c>
      <c r="I14" s="5">
        <f>C14/Headcount!C14</f>
        <v>11111.111111111111</v>
      </c>
      <c r="J14" s="5">
        <f t="shared" si="3"/>
        <v>165.48463356974025</v>
      </c>
      <c r="K14" s="2">
        <f t="shared" si="4"/>
        <v>1.4893617021276622E-2</v>
      </c>
    </row>
    <row r="15" spans="1:11" x14ac:dyDescent="0.25">
      <c r="A15" t="s">
        <v>6</v>
      </c>
      <c r="B15" t="s">
        <v>19</v>
      </c>
      <c r="C15">
        <v>350000</v>
      </c>
      <c r="D15">
        <v>388500</v>
      </c>
      <c r="E15">
        <f t="shared" si="0"/>
        <v>38500</v>
      </c>
      <c r="F15" s="1">
        <f t="shared" si="1"/>
        <v>0.11</v>
      </c>
      <c r="G15" t="str">
        <f t="shared" si="2"/>
        <v>Unfavorable</v>
      </c>
      <c r="H15" s="5">
        <f>D15/Headcount!D15</f>
        <v>19425</v>
      </c>
      <c r="I15" s="5">
        <f>C15/Headcount!C15</f>
        <v>19444.444444444445</v>
      </c>
      <c r="J15" s="5">
        <f t="shared" si="3"/>
        <v>-19.444444444445253</v>
      </c>
      <c r="K15" s="2">
        <f t="shared" si="4"/>
        <v>-1.0000000000000414E-3</v>
      </c>
    </row>
    <row r="16" spans="1:11" x14ac:dyDescent="0.25">
      <c r="A16" t="s">
        <v>6</v>
      </c>
      <c r="B16" t="s">
        <v>20</v>
      </c>
      <c r="C16">
        <v>420000</v>
      </c>
      <c r="D16">
        <v>411600</v>
      </c>
      <c r="E16">
        <f t="shared" si="0"/>
        <v>-8400</v>
      </c>
      <c r="F16" s="1">
        <f t="shared" si="1"/>
        <v>-0.02</v>
      </c>
      <c r="G16" t="str">
        <f t="shared" si="2"/>
        <v>Favorable</v>
      </c>
      <c r="H16" s="5">
        <f>D16/Headcount!D16</f>
        <v>6052.9411764705883</v>
      </c>
      <c r="I16" s="5">
        <f>C16/Headcount!C16</f>
        <v>6000</v>
      </c>
      <c r="J16" s="5">
        <f t="shared" si="3"/>
        <v>52.941176470588289</v>
      </c>
      <c r="K16" s="2">
        <f t="shared" si="4"/>
        <v>8.8235294117647144E-3</v>
      </c>
    </row>
    <row r="17" spans="1:11" x14ac:dyDescent="0.25">
      <c r="A17" t="s">
        <v>6</v>
      </c>
      <c r="B17" t="s">
        <v>21</v>
      </c>
      <c r="C17">
        <v>220000</v>
      </c>
      <c r="D17">
        <v>204600</v>
      </c>
      <c r="E17">
        <f t="shared" si="0"/>
        <v>-15400</v>
      </c>
      <c r="F17" s="1">
        <f t="shared" si="1"/>
        <v>-7.0000000000000007E-2</v>
      </c>
      <c r="G17" t="str">
        <f t="shared" si="2"/>
        <v>Favorable</v>
      </c>
      <c r="H17" s="5">
        <f>D17/Headcount!D17</f>
        <v>13640</v>
      </c>
      <c r="I17" s="5">
        <f>C17/Headcount!C17</f>
        <v>14666.666666666666</v>
      </c>
      <c r="J17" s="5">
        <f t="shared" si="3"/>
        <v>-1026.6666666666661</v>
      </c>
      <c r="K17" s="2">
        <f t="shared" si="4"/>
        <v>-6.9999999999999965E-2</v>
      </c>
    </row>
    <row r="18" spans="1:11" x14ac:dyDescent="0.25">
      <c r="A18" t="s">
        <v>7</v>
      </c>
      <c r="B18" t="s">
        <v>18</v>
      </c>
      <c r="C18">
        <v>500000</v>
      </c>
      <c r="D18">
        <v>530000</v>
      </c>
      <c r="E18">
        <f t="shared" si="0"/>
        <v>30000</v>
      </c>
      <c r="F18" s="1">
        <f t="shared" si="1"/>
        <v>0.06</v>
      </c>
      <c r="G18" t="str">
        <f t="shared" si="2"/>
        <v>Unfavorable</v>
      </c>
      <c r="H18" s="5">
        <f>D18/Headcount!D18</f>
        <v>11276.595744680852</v>
      </c>
      <c r="I18" s="5">
        <f>C18/Headcount!C18</f>
        <v>11111.111111111111</v>
      </c>
      <c r="J18" s="5">
        <f t="shared" si="3"/>
        <v>165.48463356974025</v>
      </c>
      <c r="K18" s="2">
        <f t="shared" si="4"/>
        <v>1.4893617021276622E-2</v>
      </c>
    </row>
    <row r="19" spans="1:11" x14ac:dyDescent="0.25">
      <c r="A19" t="s">
        <v>7</v>
      </c>
      <c r="B19" t="s">
        <v>19</v>
      </c>
      <c r="C19">
        <v>350000</v>
      </c>
      <c r="D19">
        <v>388500</v>
      </c>
      <c r="E19">
        <f t="shared" si="0"/>
        <v>38500</v>
      </c>
      <c r="F19" s="1">
        <f t="shared" si="1"/>
        <v>0.11</v>
      </c>
      <c r="G19" t="str">
        <f t="shared" si="2"/>
        <v>Unfavorable</v>
      </c>
      <c r="H19" s="5">
        <f>D19/Headcount!D19</f>
        <v>19425</v>
      </c>
      <c r="I19" s="5">
        <f>C19/Headcount!C19</f>
        <v>19444.444444444445</v>
      </c>
      <c r="J19" s="5">
        <f t="shared" si="3"/>
        <v>-19.444444444445253</v>
      </c>
      <c r="K19" s="2">
        <f t="shared" si="4"/>
        <v>-1.0000000000000414E-3</v>
      </c>
    </row>
    <row r="20" spans="1:11" x14ac:dyDescent="0.25">
      <c r="A20" t="s">
        <v>7</v>
      </c>
      <c r="B20" t="s">
        <v>20</v>
      </c>
      <c r="C20">
        <v>420000</v>
      </c>
      <c r="D20">
        <v>411600</v>
      </c>
      <c r="E20">
        <f t="shared" si="0"/>
        <v>-8400</v>
      </c>
      <c r="F20" s="1">
        <f t="shared" si="1"/>
        <v>-0.02</v>
      </c>
      <c r="G20" t="str">
        <f t="shared" si="2"/>
        <v>Favorable</v>
      </c>
      <c r="H20" s="5">
        <f>D20/Headcount!D20</f>
        <v>6052.9411764705883</v>
      </c>
      <c r="I20" s="5">
        <f>C20/Headcount!C20</f>
        <v>6000</v>
      </c>
      <c r="J20" s="5">
        <f t="shared" si="3"/>
        <v>52.941176470588289</v>
      </c>
      <c r="K20" s="2">
        <f t="shared" si="4"/>
        <v>8.8235294117647144E-3</v>
      </c>
    </row>
    <row r="21" spans="1:11" x14ac:dyDescent="0.25">
      <c r="A21" t="s">
        <v>7</v>
      </c>
      <c r="B21" t="s">
        <v>21</v>
      </c>
      <c r="C21">
        <v>220000</v>
      </c>
      <c r="D21">
        <v>204600</v>
      </c>
      <c r="E21">
        <f t="shared" si="0"/>
        <v>-15400</v>
      </c>
      <c r="F21" s="1">
        <f t="shared" si="1"/>
        <v>-7.0000000000000007E-2</v>
      </c>
      <c r="G21" t="str">
        <f t="shared" si="2"/>
        <v>Favorable</v>
      </c>
      <c r="H21" s="5">
        <f>D21/Headcount!D21</f>
        <v>13640</v>
      </c>
      <c r="I21" s="5">
        <f>C21/Headcount!C21</f>
        <v>14666.666666666666</v>
      </c>
      <c r="J21" s="5">
        <f t="shared" si="3"/>
        <v>-1026.6666666666661</v>
      </c>
      <c r="K21" s="2">
        <f t="shared" si="4"/>
        <v>-6.9999999999999965E-2</v>
      </c>
    </row>
    <row r="22" spans="1:11" x14ac:dyDescent="0.25">
      <c r="A22" t="s">
        <v>8</v>
      </c>
      <c r="B22" t="s">
        <v>18</v>
      </c>
      <c r="C22">
        <v>500000</v>
      </c>
      <c r="D22">
        <v>530000</v>
      </c>
      <c r="E22">
        <f t="shared" si="0"/>
        <v>30000</v>
      </c>
      <c r="F22" s="1">
        <f t="shared" si="1"/>
        <v>0.06</v>
      </c>
      <c r="G22" t="str">
        <f t="shared" si="2"/>
        <v>Unfavorable</v>
      </c>
      <c r="H22" s="5">
        <f>D22/Headcount!D22</f>
        <v>11276.595744680852</v>
      </c>
      <c r="I22" s="5">
        <f>C22/Headcount!C22</f>
        <v>11111.111111111111</v>
      </c>
      <c r="J22" s="5">
        <f t="shared" si="3"/>
        <v>165.48463356974025</v>
      </c>
      <c r="K22" s="2">
        <f t="shared" si="4"/>
        <v>1.4893617021276622E-2</v>
      </c>
    </row>
    <row r="23" spans="1:11" x14ac:dyDescent="0.25">
      <c r="A23" t="s">
        <v>8</v>
      </c>
      <c r="B23" t="s">
        <v>19</v>
      </c>
      <c r="C23">
        <v>350000</v>
      </c>
      <c r="D23">
        <v>388500</v>
      </c>
      <c r="E23">
        <f t="shared" si="0"/>
        <v>38500</v>
      </c>
      <c r="F23" s="1">
        <f t="shared" si="1"/>
        <v>0.11</v>
      </c>
      <c r="G23" t="str">
        <f t="shared" si="2"/>
        <v>Unfavorable</v>
      </c>
      <c r="H23" s="5">
        <f>D23/Headcount!D23</f>
        <v>19425</v>
      </c>
      <c r="I23" s="5">
        <f>C23/Headcount!C23</f>
        <v>19444.444444444445</v>
      </c>
      <c r="J23" s="5">
        <f t="shared" si="3"/>
        <v>-19.444444444445253</v>
      </c>
      <c r="K23" s="2">
        <f t="shared" si="4"/>
        <v>-1.0000000000000414E-3</v>
      </c>
    </row>
    <row r="24" spans="1:11" x14ac:dyDescent="0.25">
      <c r="A24" t="s">
        <v>8</v>
      </c>
      <c r="B24" t="s">
        <v>20</v>
      </c>
      <c r="C24">
        <v>420000</v>
      </c>
      <c r="D24">
        <v>411600</v>
      </c>
      <c r="E24">
        <f t="shared" si="0"/>
        <v>-8400</v>
      </c>
      <c r="F24" s="1">
        <f t="shared" si="1"/>
        <v>-0.02</v>
      </c>
      <c r="G24" t="str">
        <f t="shared" si="2"/>
        <v>Favorable</v>
      </c>
      <c r="H24" s="5">
        <f>D24/Headcount!D24</f>
        <v>6052.9411764705883</v>
      </c>
      <c r="I24" s="5">
        <f>C24/Headcount!C24</f>
        <v>6000</v>
      </c>
      <c r="J24" s="5">
        <f t="shared" si="3"/>
        <v>52.941176470588289</v>
      </c>
      <c r="K24" s="2">
        <f t="shared" si="4"/>
        <v>8.8235294117647144E-3</v>
      </c>
    </row>
    <row r="25" spans="1:11" x14ac:dyDescent="0.25">
      <c r="A25" t="s">
        <v>8</v>
      </c>
      <c r="B25" t="s">
        <v>21</v>
      </c>
      <c r="C25">
        <v>220000</v>
      </c>
      <c r="D25">
        <v>204600</v>
      </c>
      <c r="E25">
        <f t="shared" si="0"/>
        <v>-15400</v>
      </c>
      <c r="F25" s="1">
        <f t="shared" si="1"/>
        <v>-7.0000000000000007E-2</v>
      </c>
      <c r="G25" t="str">
        <f t="shared" si="2"/>
        <v>Favorable</v>
      </c>
      <c r="H25" s="5">
        <f>D25/Headcount!D25</f>
        <v>13640</v>
      </c>
      <c r="I25" s="5">
        <f>C25/Headcount!C25</f>
        <v>14666.666666666666</v>
      </c>
      <c r="J25" s="5">
        <f t="shared" si="3"/>
        <v>-1026.6666666666661</v>
      </c>
      <c r="K25" s="2">
        <f t="shared" si="4"/>
        <v>-6.9999999999999965E-2</v>
      </c>
    </row>
    <row r="26" spans="1:11" x14ac:dyDescent="0.25">
      <c r="A26" t="s">
        <v>9</v>
      </c>
      <c r="B26" t="s">
        <v>18</v>
      </c>
      <c r="C26">
        <v>500000</v>
      </c>
      <c r="D26">
        <v>530000</v>
      </c>
      <c r="E26">
        <f t="shared" si="0"/>
        <v>30000</v>
      </c>
      <c r="F26" s="1">
        <f t="shared" si="1"/>
        <v>0.06</v>
      </c>
      <c r="G26" t="str">
        <f t="shared" si="2"/>
        <v>Unfavorable</v>
      </c>
      <c r="H26" s="5">
        <f>D26/Headcount!D26</f>
        <v>11276.595744680852</v>
      </c>
      <c r="I26" s="5">
        <f>C26/Headcount!C26</f>
        <v>11111.111111111111</v>
      </c>
      <c r="J26" s="5">
        <f t="shared" si="3"/>
        <v>165.48463356974025</v>
      </c>
      <c r="K26" s="2">
        <f t="shared" si="4"/>
        <v>1.4893617021276622E-2</v>
      </c>
    </row>
    <row r="27" spans="1:11" x14ac:dyDescent="0.25">
      <c r="A27" t="s">
        <v>9</v>
      </c>
      <c r="B27" t="s">
        <v>19</v>
      </c>
      <c r="C27">
        <v>350000</v>
      </c>
      <c r="D27">
        <v>388500</v>
      </c>
      <c r="E27">
        <f t="shared" si="0"/>
        <v>38500</v>
      </c>
      <c r="F27" s="1">
        <f t="shared" si="1"/>
        <v>0.11</v>
      </c>
      <c r="G27" t="str">
        <f t="shared" si="2"/>
        <v>Unfavorable</v>
      </c>
      <c r="H27" s="5">
        <f>D27/Headcount!D27</f>
        <v>19425</v>
      </c>
      <c r="I27" s="5">
        <f>C27/Headcount!C27</f>
        <v>19444.444444444445</v>
      </c>
      <c r="J27" s="5">
        <f t="shared" si="3"/>
        <v>-19.444444444445253</v>
      </c>
      <c r="K27" s="2">
        <f t="shared" si="4"/>
        <v>-1.0000000000000414E-3</v>
      </c>
    </row>
    <row r="28" spans="1:11" x14ac:dyDescent="0.25">
      <c r="A28" t="s">
        <v>9</v>
      </c>
      <c r="B28" t="s">
        <v>20</v>
      </c>
      <c r="C28">
        <v>420000</v>
      </c>
      <c r="D28">
        <v>411600</v>
      </c>
      <c r="E28">
        <f t="shared" si="0"/>
        <v>-8400</v>
      </c>
      <c r="F28" s="1">
        <f t="shared" si="1"/>
        <v>-0.02</v>
      </c>
      <c r="G28" t="str">
        <f t="shared" si="2"/>
        <v>Favorable</v>
      </c>
      <c r="H28" s="5">
        <f>D28/Headcount!D28</f>
        <v>6052.9411764705883</v>
      </c>
      <c r="I28" s="5">
        <f>C28/Headcount!C28</f>
        <v>6000</v>
      </c>
      <c r="J28" s="5">
        <f t="shared" si="3"/>
        <v>52.941176470588289</v>
      </c>
      <c r="K28" s="2">
        <f t="shared" si="4"/>
        <v>8.8235294117647144E-3</v>
      </c>
    </row>
    <row r="29" spans="1:11" x14ac:dyDescent="0.25">
      <c r="A29" t="s">
        <v>9</v>
      </c>
      <c r="B29" t="s">
        <v>21</v>
      </c>
      <c r="C29">
        <v>220000</v>
      </c>
      <c r="D29">
        <v>204600</v>
      </c>
      <c r="E29">
        <f t="shared" si="0"/>
        <v>-15400</v>
      </c>
      <c r="F29" s="1">
        <f t="shared" si="1"/>
        <v>-7.0000000000000007E-2</v>
      </c>
      <c r="G29" t="str">
        <f t="shared" si="2"/>
        <v>Favorable</v>
      </c>
      <c r="H29" s="5">
        <f>D29/Headcount!D29</f>
        <v>13640</v>
      </c>
      <c r="I29" s="5">
        <f>C29/Headcount!C29</f>
        <v>14666.666666666666</v>
      </c>
      <c r="J29" s="5">
        <f t="shared" si="3"/>
        <v>-1026.6666666666661</v>
      </c>
      <c r="K29" s="2">
        <f t="shared" si="4"/>
        <v>-6.9999999999999965E-2</v>
      </c>
    </row>
    <row r="30" spans="1:11" x14ac:dyDescent="0.25">
      <c r="A30" t="s">
        <v>10</v>
      </c>
      <c r="B30" t="s">
        <v>18</v>
      </c>
      <c r="C30">
        <v>500000</v>
      </c>
      <c r="D30">
        <v>530000</v>
      </c>
      <c r="E30">
        <f t="shared" si="0"/>
        <v>30000</v>
      </c>
      <c r="F30" s="1">
        <f t="shared" si="1"/>
        <v>0.06</v>
      </c>
      <c r="G30" t="str">
        <f t="shared" si="2"/>
        <v>Unfavorable</v>
      </c>
      <c r="H30" s="5">
        <f>D30/Headcount!D30</f>
        <v>11276.595744680852</v>
      </c>
      <c r="I30" s="5">
        <f>C30/Headcount!C30</f>
        <v>11111.111111111111</v>
      </c>
      <c r="J30" s="5">
        <f t="shared" si="3"/>
        <v>165.48463356974025</v>
      </c>
      <c r="K30" s="2">
        <f t="shared" si="4"/>
        <v>1.4893617021276622E-2</v>
      </c>
    </row>
    <row r="31" spans="1:11" x14ac:dyDescent="0.25">
      <c r="A31" t="s">
        <v>10</v>
      </c>
      <c r="B31" t="s">
        <v>19</v>
      </c>
      <c r="C31">
        <v>350000</v>
      </c>
      <c r="D31">
        <v>388500</v>
      </c>
      <c r="E31">
        <f t="shared" si="0"/>
        <v>38500</v>
      </c>
      <c r="F31" s="1">
        <f t="shared" si="1"/>
        <v>0.11</v>
      </c>
      <c r="G31" t="str">
        <f t="shared" si="2"/>
        <v>Unfavorable</v>
      </c>
      <c r="H31" s="5">
        <f>D31/Headcount!D31</f>
        <v>19425</v>
      </c>
      <c r="I31" s="5">
        <f>C31/Headcount!C31</f>
        <v>19444.444444444445</v>
      </c>
      <c r="J31" s="5">
        <f t="shared" si="3"/>
        <v>-19.444444444445253</v>
      </c>
      <c r="K31" s="2">
        <f t="shared" si="4"/>
        <v>-1.0000000000000414E-3</v>
      </c>
    </row>
    <row r="32" spans="1:11" x14ac:dyDescent="0.25">
      <c r="A32" t="s">
        <v>10</v>
      </c>
      <c r="B32" t="s">
        <v>20</v>
      </c>
      <c r="C32">
        <v>420000</v>
      </c>
      <c r="D32">
        <v>411600</v>
      </c>
      <c r="E32">
        <f t="shared" si="0"/>
        <v>-8400</v>
      </c>
      <c r="F32" s="1">
        <f t="shared" si="1"/>
        <v>-0.02</v>
      </c>
      <c r="G32" t="str">
        <f t="shared" si="2"/>
        <v>Favorable</v>
      </c>
      <c r="H32" s="5">
        <f>D32/Headcount!D32</f>
        <v>6052.9411764705883</v>
      </c>
      <c r="I32" s="5">
        <f>C32/Headcount!C32</f>
        <v>6000</v>
      </c>
      <c r="J32" s="5">
        <f t="shared" si="3"/>
        <v>52.941176470588289</v>
      </c>
      <c r="K32" s="2">
        <f t="shared" si="4"/>
        <v>8.8235294117647144E-3</v>
      </c>
    </row>
    <row r="33" spans="1:11" x14ac:dyDescent="0.25">
      <c r="A33" t="s">
        <v>10</v>
      </c>
      <c r="B33" t="s">
        <v>21</v>
      </c>
      <c r="C33">
        <v>220000</v>
      </c>
      <c r="D33">
        <v>204600</v>
      </c>
      <c r="E33">
        <f t="shared" si="0"/>
        <v>-15400</v>
      </c>
      <c r="F33" s="1">
        <f t="shared" si="1"/>
        <v>-7.0000000000000007E-2</v>
      </c>
      <c r="G33" t="str">
        <f t="shared" si="2"/>
        <v>Favorable</v>
      </c>
      <c r="H33" s="5">
        <f>D33/Headcount!D33</f>
        <v>13640</v>
      </c>
      <c r="I33" s="5">
        <f>C33/Headcount!C33</f>
        <v>14666.666666666666</v>
      </c>
      <c r="J33" s="5">
        <f t="shared" si="3"/>
        <v>-1026.6666666666661</v>
      </c>
      <c r="K33" s="2">
        <f t="shared" si="4"/>
        <v>-6.9999999999999965E-2</v>
      </c>
    </row>
    <row r="34" spans="1:11" x14ac:dyDescent="0.25">
      <c r="A34" t="s">
        <v>11</v>
      </c>
      <c r="B34" t="s">
        <v>18</v>
      </c>
      <c r="C34">
        <v>500000</v>
      </c>
      <c r="D34">
        <v>530000</v>
      </c>
      <c r="E34">
        <f t="shared" si="0"/>
        <v>30000</v>
      </c>
      <c r="F34" s="1">
        <f t="shared" si="1"/>
        <v>0.06</v>
      </c>
      <c r="G34" t="str">
        <f t="shared" si="2"/>
        <v>Unfavorable</v>
      </c>
      <c r="H34" s="5">
        <f>D34/Headcount!D34</f>
        <v>11276.595744680852</v>
      </c>
      <c r="I34" s="5">
        <f>C34/Headcount!C34</f>
        <v>11111.111111111111</v>
      </c>
      <c r="J34" s="5">
        <f t="shared" si="3"/>
        <v>165.48463356974025</v>
      </c>
      <c r="K34" s="2">
        <f t="shared" si="4"/>
        <v>1.4893617021276622E-2</v>
      </c>
    </row>
    <row r="35" spans="1:11" x14ac:dyDescent="0.25">
      <c r="A35" t="s">
        <v>11</v>
      </c>
      <c r="B35" t="s">
        <v>19</v>
      </c>
      <c r="C35">
        <v>350000</v>
      </c>
      <c r="D35">
        <v>388500</v>
      </c>
      <c r="E35">
        <f t="shared" si="0"/>
        <v>38500</v>
      </c>
      <c r="F35" s="1">
        <f t="shared" si="1"/>
        <v>0.11</v>
      </c>
      <c r="G35" t="str">
        <f t="shared" si="2"/>
        <v>Unfavorable</v>
      </c>
      <c r="H35" s="5">
        <f>D35/Headcount!D35</f>
        <v>19425</v>
      </c>
      <c r="I35" s="5">
        <f>C35/Headcount!C35</f>
        <v>19444.444444444445</v>
      </c>
      <c r="J35" s="5">
        <f t="shared" si="3"/>
        <v>-19.444444444445253</v>
      </c>
      <c r="K35" s="2">
        <f t="shared" si="4"/>
        <v>-1.0000000000000414E-3</v>
      </c>
    </row>
    <row r="36" spans="1:11" x14ac:dyDescent="0.25">
      <c r="A36" t="s">
        <v>11</v>
      </c>
      <c r="B36" t="s">
        <v>20</v>
      </c>
      <c r="C36">
        <v>420000</v>
      </c>
      <c r="D36">
        <v>411600</v>
      </c>
      <c r="E36">
        <f t="shared" si="0"/>
        <v>-8400</v>
      </c>
      <c r="F36" s="1">
        <f t="shared" si="1"/>
        <v>-0.02</v>
      </c>
      <c r="G36" t="str">
        <f t="shared" si="2"/>
        <v>Favorable</v>
      </c>
      <c r="H36" s="5">
        <f>D36/Headcount!D36</f>
        <v>6052.9411764705883</v>
      </c>
      <c r="I36" s="5">
        <f>C36/Headcount!C36</f>
        <v>6000</v>
      </c>
      <c r="J36" s="5">
        <f t="shared" si="3"/>
        <v>52.941176470588289</v>
      </c>
      <c r="K36" s="2">
        <f t="shared" si="4"/>
        <v>8.8235294117647144E-3</v>
      </c>
    </row>
    <row r="37" spans="1:11" x14ac:dyDescent="0.25">
      <c r="A37" t="s">
        <v>11</v>
      </c>
      <c r="B37" t="s">
        <v>21</v>
      </c>
      <c r="C37">
        <v>220000</v>
      </c>
      <c r="D37">
        <v>204600</v>
      </c>
      <c r="E37">
        <f t="shared" si="0"/>
        <v>-15400</v>
      </c>
      <c r="F37" s="1">
        <f t="shared" si="1"/>
        <v>-7.0000000000000007E-2</v>
      </c>
      <c r="G37" t="str">
        <f t="shared" si="2"/>
        <v>Favorable</v>
      </c>
      <c r="H37" s="5">
        <f>D37/Headcount!D37</f>
        <v>13640</v>
      </c>
      <c r="I37" s="5">
        <f>C37/Headcount!C37</f>
        <v>14666.666666666666</v>
      </c>
      <c r="J37" s="5">
        <f t="shared" si="3"/>
        <v>-1026.6666666666661</v>
      </c>
      <c r="K37" s="2">
        <f t="shared" si="4"/>
        <v>-6.9999999999999965E-2</v>
      </c>
    </row>
    <row r="38" spans="1:11" x14ac:dyDescent="0.25">
      <c r="A38" t="s">
        <v>12</v>
      </c>
      <c r="B38" t="s">
        <v>18</v>
      </c>
      <c r="C38">
        <v>500000</v>
      </c>
      <c r="D38">
        <v>530000</v>
      </c>
      <c r="E38">
        <f t="shared" si="0"/>
        <v>30000</v>
      </c>
      <c r="F38" s="1">
        <f t="shared" si="1"/>
        <v>0.06</v>
      </c>
      <c r="G38" t="str">
        <f t="shared" si="2"/>
        <v>Unfavorable</v>
      </c>
      <c r="H38" s="5">
        <f>D38/Headcount!D38</f>
        <v>11276.595744680852</v>
      </c>
      <c r="I38" s="5">
        <f>C38/Headcount!C38</f>
        <v>11111.111111111111</v>
      </c>
      <c r="J38" s="5">
        <f t="shared" si="3"/>
        <v>165.48463356974025</v>
      </c>
      <c r="K38" s="2">
        <f t="shared" si="4"/>
        <v>1.4893617021276622E-2</v>
      </c>
    </row>
    <row r="39" spans="1:11" x14ac:dyDescent="0.25">
      <c r="A39" t="s">
        <v>12</v>
      </c>
      <c r="B39" t="s">
        <v>19</v>
      </c>
      <c r="C39">
        <v>350000</v>
      </c>
      <c r="D39">
        <v>388500</v>
      </c>
      <c r="E39">
        <f t="shared" si="0"/>
        <v>38500</v>
      </c>
      <c r="F39" s="1">
        <f t="shared" si="1"/>
        <v>0.11</v>
      </c>
      <c r="G39" t="str">
        <f t="shared" si="2"/>
        <v>Unfavorable</v>
      </c>
      <c r="H39" s="5">
        <f>D39/Headcount!D39</f>
        <v>19425</v>
      </c>
      <c r="I39" s="5">
        <f>C39/Headcount!C39</f>
        <v>19444.444444444445</v>
      </c>
      <c r="J39" s="5">
        <f t="shared" si="3"/>
        <v>-19.444444444445253</v>
      </c>
      <c r="K39" s="2">
        <f t="shared" si="4"/>
        <v>-1.0000000000000414E-3</v>
      </c>
    </row>
    <row r="40" spans="1:11" x14ac:dyDescent="0.25">
      <c r="A40" t="s">
        <v>12</v>
      </c>
      <c r="B40" t="s">
        <v>20</v>
      </c>
      <c r="C40">
        <v>420000</v>
      </c>
      <c r="D40">
        <v>411600</v>
      </c>
      <c r="E40">
        <f t="shared" si="0"/>
        <v>-8400</v>
      </c>
      <c r="F40" s="1">
        <f t="shared" si="1"/>
        <v>-0.02</v>
      </c>
      <c r="G40" t="str">
        <f t="shared" si="2"/>
        <v>Favorable</v>
      </c>
      <c r="H40" s="5">
        <f>D40/Headcount!D40</f>
        <v>6052.9411764705883</v>
      </c>
      <c r="I40" s="5">
        <f>C40/Headcount!C40</f>
        <v>6000</v>
      </c>
      <c r="J40" s="5">
        <f t="shared" si="3"/>
        <v>52.941176470588289</v>
      </c>
      <c r="K40" s="2">
        <f t="shared" si="4"/>
        <v>8.8235294117647144E-3</v>
      </c>
    </row>
    <row r="41" spans="1:11" x14ac:dyDescent="0.25">
      <c r="A41" t="s">
        <v>12</v>
      </c>
      <c r="B41" t="s">
        <v>21</v>
      </c>
      <c r="C41">
        <v>220000</v>
      </c>
      <c r="D41">
        <v>204600</v>
      </c>
      <c r="E41">
        <f t="shared" si="0"/>
        <v>-15400</v>
      </c>
      <c r="F41" s="1">
        <f t="shared" si="1"/>
        <v>-7.0000000000000007E-2</v>
      </c>
      <c r="G41" t="str">
        <f t="shared" si="2"/>
        <v>Favorable</v>
      </c>
      <c r="H41" s="5">
        <f>D41/Headcount!D41</f>
        <v>13640</v>
      </c>
      <c r="I41" s="5">
        <f>C41/Headcount!C41</f>
        <v>14666.666666666666</v>
      </c>
      <c r="J41" s="5">
        <f t="shared" si="3"/>
        <v>-1026.6666666666661</v>
      </c>
      <c r="K41" s="2">
        <f t="shared" si="4"/>
        <v>-6.9999999999999965E-2</v>
      </c>
    </row>
    <row r="42" spans="1:11" x14ac:dyDescent="0.25">
      <c r="A42" t="s">
        <v>13</v>
      </c>
      <c r="B42" t="s">
        <v>18</v>
      </c>
      <c r="C42">
        <v>500000</v>
      </c>
      <c r="D42">
        <v>530000</v>
      </c>
      <c r="E42">
        <f t="shared" si="0"/>
        <v>30000</v>
      </c>
      <c r="F42" s="1">
        <f t="shared" si="1"/>
        <v>0.06</v>
      </c>
      <c r="G42" t="str">
        <f t="shared" si="2"/>
        <v>Unfavorable</v>
      </c>
      <c r="H42" s="5">
        <f>D42/Headcount!D42</f>
        <v>11276.595744680852</v>
      </c>
      <c r="I42" s="5">
        <f>C42/Headcount!C42</f>
        <v>11111.111111111111</v>
      </c>
      <c r="J42" s="5">
        <f t="shared" si="3"/>
        <v>165.48463356974025</v>
      </c>
      <c r="K42" s="2">
        <f t="shared" si="4"/>
        <v>1.4893617021276622E-2</v>
      </c>
    </row>
    <row r="43" spans="1:11" x14ac:dyDescent="0.25">
      <c r="A43" t="s">
        <v>13</v>
      </c>
      <c r="B43" t="s">
        <v>19</v>
      </c>
      <c r="C43">
        <v>350000</v>
      </c>
      <c r="D43">
        <v>388500</v>
      </c>
      <c r="E43">
        <f t="shared" si="0"/>
        <v>38500</v>
      </c>
      <c r="F43" s="1">
        <f t="shared" si="1"/>
        <v>0.11</v>
      </c>
      <c r="G43" t="str">
        <f t="shared" si="2"/>
        <v>Unfavorable</v>
      </c>
      <c r="H43" s="5">
        <f>D43/Headcount!D43</f>
        <v>19425</v>
      </c>
      <c r="I43" s="5">
        <f>C43/Headcount!C43</f>
        <v>19444.444444444445</v>
      </c>
      <c r="J43" s="5">
        <f t="shared" si="3"/>
        <v>-19.444444444445253</v>
      </c>
      <c r="K43" s="2">
        <f t="shared" si="4"/>
        <v>-1.0000000000000414E-3</v>
      </c>
    </row>
    <row r="44" spans="1:11" x14ac:dyDescent="0.25">
      <c r="A44" t="s">
        <v>13</v>
      </c>
      <c r="B44" t="s">
        <v>20</v>
      </c>
      <c r="C44">
        <v>420000</v>
      </c>
      <c r="D44">
        <v>411600</v>
      </c>
      <c r="E44">
        <f t="shared" si="0"/>
        <v>-8400</v>
      </c>
      <c r="F44" s="1">
        <f t="shared" si="1"/>
        <v>-0.02</v>
      </c>
      <c r="G44" t="str">
        <f t="shared" si="2"/>
        <v>Favorable</v>
      </c>
      <c r="H44" s="5">
        <f>D44/Headcount!D44</f>
        <v>6052.9411764705883</v>
      </c>
      <c r="I44" s="5">
        <f>C44/Headcount!C44</f>
        <v>6000</v>
      </c>
      <c r="J44" s="5">
        <f t="shared" si="3"/>
        <v>52.941176470588289</v>
      </c>
      <c r="K44" s="2">
        <f t="shared" si="4"/>
        <v>8.8235294117647144E-3</v>
      </c>
    </row>
    <row r="45" spans="1:11" x14ac:dyDescent="0.25">
      <c r="A45" t="s">
        <v>13</v>
      </c>
      <c r="B45" t="s">
        <v>21</v>
      </c>
      <c r="C45">
        <v>220000</v>
      </c>
      <c r="D45">
        <v>204600</v>
      </c>
      <c r="E45">
        <f t="shared" si="0"/>
        <v>-15400</v>
      </c>
      <c r="F45" s="1">
        <f t="shared" si="1"/>
        <v>-7.0000000000000007E-2</v>
      </c>
      <c r="G45" t="str">
        <f t="shared" si="2"/>
        <v>Favorable</v>
      </c>
      <c r="H45" s="5">
        <f>D45/Headcount!D45</f>
        <v>13640</v>
      </c>
      <c r="I45" s="5">
        <f>C45/Headcount!C45</f>
        <v>14666.666666666666</v>
      </c>
      <c r="J45" s="5">
        <f t="shared" si="3"/>
        <v>-1026.6666666666661</v>
      </c>
      <c r="K45" s="2">
        <f t="shared" si="4"/>
        <v>-6.9999999999999965E-2</v>
      </c>
    </row>
    <row r="46" spans="1:11" x14ac:dyDescent="0.25">
      <c r="A46" t="s">
        <v>14</v>
      </c>
      <c r="B46" t="s">
        <v>18</v>
      </c>
      <c r="C46">
        <v>500000</v>
      </c>
      <c r="D46">
        <v>530000</v>
      </c>
      <c r="E46">
        <f t="shared" si="0"/>
        <v>30000</v>
      </c>
      <c r="F46" s="1">
        <f t="shared" si="1"/>
        <v>0.06</v>
      </c>
      <c r="G46" t="str">
        <f t="shared" si="2"/>
        <v>Unfavorable</v>
      </c>
      <c r="H46" s="5">
        <f>D46/Headcount!D46</f>
        <v>11276.595744680852</v>
      </c>
      <c r="I46" s="5">
        <f>C46/Headcount!C46</f>
        <v>11111.111111111111</v>
      </c>
      <c r="J46" s="5">
        <f t="shared" si="3"/>
        <v>165.48463356974025</v>
      </c>
      <c r="K46" s="2">
        <f t="shared" si="4"/>
        <v>1.4893617021276622E-2</v>
      </c>
    </row>
    <row r="47" spans="1:11" x14ac:dyDescent="0.25">
      <c r="A47" t="s">
        <v>14</v>
      </c>
      <c r="B47" t="s">
        <v>19</v>
      </c>
      <c r="C47">
        <v>350000</v>
      </c>
      <c r="D47">
        <v>388500</v>
      </c>
      <c r="E47">
        <f t="shared" si="0"/>
        <v>38500</v>
      </c>
      <c r="F47" s="1">
        <f t="shared" si="1"/>
        <v>0.11</v>
      </c>
      <c r="G47" t="str">
        <f t="shared" si="2"/>
        <v>Unfavorable</v>
      </c>
      <c r="H47" s="5">
        <f>D47/Headcount!D47</f>
        <v>19425</v>
      </c>
      <c r="I47" s="5">
        <f>C47/Headcount!C47</f>
        <v>19444.444444444445</v>
      </c>
      <c r="J47" s="5">
        <f t="shared" si="3"/>
        <v>-19.444444444445253</v>
      </c>
      <c r="K47" s="2">
        <f t="shared" si="4"/>
        <v>-1.0000000000000414E-3</v>
      </c>
    </row>
    <row r="48" spans="1:11" x14ac:dyDescent="0.25">
      <c r="A48" t="s">
        <v>14</v>
      </c>
      <c r="B48" t="s">
        <v>20</v>
      </c>
      <c r="C48">
        <v>420000</v>
      </c>
      <c r="D48">
        <v>411600</v>
      </c>
      <c r="E48">
        <f t="shared" si="0"/>
        <v>-8400</v>
      </c>
      <c r="F48" s="1">
        <f t="shared" si="1"/>
        <v>-0.02</v>
      </c>
      <c r="G48" t="str">
        <f t="shared" si="2"/>
        <v>Favorable</v>
      </c>
      <c r="H48" s="5">
        <f>D48/Headcount!D48</f>
        <v>6052.9411764705883</v>
      </c>
      <c r="I48" s="5">
        <f>C48/Headcount!C48</f>
        <v>6000</v>
      </c>
      <c r="J48" s="5">
        <f t="shared" si="3"/>
        <v>52.941176470588289</v>
      </c>
      <c r="K48" s="2">
        <f t="shared" si="4"/>
        <v>8.8235294117647144E-3</v>
      </c>
    </row>
    <row r="49" spans="1:11" x14ac:dyDescent="0.25">
      <c r="A49" t="s">
        <v>14</v>
      </c>
      <c r="B49" t="s">
        <v>21</v>
      </c>
      <c r="C49">
        <v>220000</v>
      </c>
      <c r="D49">
        <v>204600</v>
      </c>
      <c r="E49">
        <f t="shared" si="0"/>
        <v>-15400</v>
      </c>
      <c r="F49" s="1">
        <f t="shared" si="1"/>
        <v>-7.0000000000000007E-2</v>
      </c>
      <c r="G49" t="str">
        <f t="shared" si="2"/>
        <v>Favorable</v>
      </c>
      <c r="H49" s="5">
        <f>D49/Headcount!D49</f>
        <v>13640</v>
      </c>
      <c r="I49" s="5">
        <f>C49/Headcount!C49</f>
        <v>14666.666666666666</v>
      </c>
      <c r="J49" s="5">
        <f t="shared" si="3"/>
        <v>-1026.6666666666661</v>
      </c>
      <c r="K49" s="2">
        <f t="shared" si="4"/>
        <v>-6.9999999999999965E-2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7"/>
  <sheetViews>
    <sheetView workbookViewId="0">
      <selection activeCell="K13" sqref="K13:S19"/>
    </sheetView>
  </sheetViews>
  <sheetFormatPr defaultRowHeight="15" x14ac:dyDescent="0.25"/>
  <cols>
    <col min="2" max="2" width="11.7109375" bestFit="1" customWidth="1"/>
    <col min="3" max="3" width="10.140625" bestFit="1" customWidth="1"/>
    <col min="4" max="4" width="9.42578125" bestFit="1" customWidth="1"/>
    <col min="5" max="5" width="11.5703125" bestFit="1" customWidth="1"/>
    <col min="6" max="6" width="13.7109375" bestFit="1" customWidth="1"/>
    <col min="12" max="12" width="14" bestFit="1" customWidth="1"/>
    <col min="13" max="13" width="16" bestFit="1" customWidth="1"/>
    <col min="14" max="14" width="12.7109375" bestFit="1" customWidth="1"/>
    <col min="15" max="15" width="14" bestFit="1" customWidth="1"/>
    <col min="16" max="16" width="13" bestFit="1" customWidth="1"/>
    <col min="17" max="17" width="12.7109375" bestFit="1" customWidth="1"/>
  </cols>
  <sheetData>
    <row r="1" spans="1:12" x14ac:dyDescent="0.25">
      <c r="A1" t="s">
        <v>0</v>
      </c>
      <c r="B1" t="s">
        <v>15</v>
      </c>
      <c r="C1" t="s">
        <v>22</v>
      </c>
      <c r="D1" t="s">
        <v>23</v>
      </c>
      <c r="E1" t="s">
        <v>35</v>
      </c>
      <c r="F1" t="s">
        <v>36</v>
      </c>
    </row>
    <row r="2" spans="1:12" x14ac:dyDescent="0.25">
      <c r="A2" t="s">
        <v>3</v>
      </c>
      <c r="B2" t="s">
        <v>18</v>
      </c>
      <c r="C2">
        <v>45</v>
      </c>
      <c r="D2">
        <v>47</v>
      </c>
      <c r="E2">
        <f>D2-C2</f>
        <v>2</v>
      </c>
      <c r="F2" s="2">
        <f>IFERROR(E2/C2,0)</f>
        <v>4.4444444444444446E-2</v>
      </c>
    </row>
    <row r="3" spans="1:12" x14ac:dyDescent="0.25">
      <c r="A3" t="s">
        <v>3</v>
      </c>
      <c r="B3" t="s">
        <v>19</v>
      </c>
      <c r="C3">
        <v>18</v>
      </c>
      <c r="D3">
        <v>20</v>
      </c>
      <c r="E3">
        <f t="shared" ref="E3:E49" si="0">D3-C3</f>
        <v>2</v>
      </c>
      <c r="F3" s="2">
        <f>IFERROR(E3/C3,0)</f>
        <v>0.1111111111111111</v>
      </c>
    </row>
    <row r="4" spans="1:12" x14ac:dyDescent="0.25">
      <c r="A4" t="s">
        <v>3</v>
      </c>
      <c r="B4" t="s">
        <v>20</v>
      </c>
      <c r="C4">
        <v>70</v>
      </c>
      <c r="D4">
        <v>68</v>
      </c>
      <c r="E4">
        <f t="shared" si="0"/>
        <v>-2</v>
      </c>
      <c r="F4" s="2">
        <f t="shared" ref="F4:F49" si="1">IFERROR(E4/C4,0)</f>
        <v>-2.8571428571428571E-2</v>
      </c>
    </row>
    <row r="5" spans="1:12" x14ac:dyDescent="0.25">
      <c r="A5" t="s">
        <v>3</v>
      </c>
      <c r="B5" t="s">
        <v>21</v>
      </c>
      <c r="C5">
        <v>15</v>
      </c>
      <c r="D5">
        <v>15</v>
      </c>
      <c r="E5">
        <f t="shared" si="0"/>
        <v>0</v>
      </c>
      <c r="F5" s="2">
        <f t="shared" si="1"/>
        <v>0</v>
      </c>
    </row>
    <row r="6" spans="1:12" x14ac:dyDescent="0.25">
      <c r="A6" t="s">
        <v>4</v>
      </c>
      <c r="B6" t="s">
        <v>18</v>
      </c>
      <c r="C6">
        <v>45</v>
      </c>
      <c r="D6">
        <v>47</v>
      </c>
      <c r="E6">
        <f t="shared" si="0"/>
        <v>2</v>
      </c>
      <c r="F6" s="2">
        <f t="shared" si="1"/>
        <v>4.4444444444444446E-2</v>
      </c>
    </row>
    <row r="7" spans="1:12" x14ac:dyDescent="0.25">
      <c r="A7" t="s">
        <v>4</v>
      </c>
      <c r="B7" t="s">
        <v>19</v>
      </c>
      <c r="C7">
        <v>18</v>
      </c>
      <c r="D7">
        <v>20</v>
      </c>
      <c r="E7">
        <f t="shared" si="0"/>
        <v>2</v>
      </c>
      <c r="F7" s="2">
        <f t="shared" si="1"/>
        <v>0.1111111111111111</v>
      </c>
    </row>
    <row r="8" spans="1:12" x14ac:dyDescent="0.25">
      <c r="A8" t="s">
        <v>4</v>
      </c>
      <c r="B8" t="s">
        <v>20</v>
      </c>
      <c r="C8">
        <v>70</v>
      </c>
      <c r="D8">
        <v>68</v>
      </c>
      <c r="E8">
        <f t="shared" si="0"/>
        <v>-2</v>
      </c>
      <c r="F8" s="2">
        <f t="shared" si="1"/>
        <v>-2.8571428571428571E-2</v>
      </c>
    </row>
    <row r="9" spans="1:12" x14ac:dyDescent="0.25">
      <c r="A9" t="s">
        <v>4</v>
      </c>
      <c r="B9" t="s">
        <v>21</v>
      </c>
      <c r="C9">
        <v>15</v>
      </c>
      <c r="D9">
        <v>15</v>
      </c>
      <c r="E9">
        <f t="shared" si="0"/>
        <v>0</v>
      </c>
      <c r="F9" s="2">
        <f t="shared" si="1"/>
        <v>0</v>
      </c>
    </row>
    <row r="10" spans="1:12" x14ac:dyDescent="0.25">
      <c r="A10" t="s">
        <v>5</v>
      </c>
      <c r="B10" t="s">
        <v>18</v>
      </c>
      <c r="C10">
        <v>45</v>
      </c>
      <c r="D10">
        <v>47</v>
      </c>
      <c r="E10">
        <f t="shared" si="0"/>
        <v>2</v>
      </c>
      <c r="F10" s="2">
        <f t="shared" si="1"/>
        <v>4.4444444444444446E-2</v>
      </c>
    </row>
    <row r="11" spans="1:12" x14ac:dyDescent="0.25">
      <c r="A11" t="s">
        <v>5</v>
      </c>
      <c r="B11" t="s">
        <v>19</v>
      </c>
      <c r="C11">
        <v>18</v>
      </c>
      <c r="D11">
        <v>20</v>
      </c>
      <c r="E11">
        <f t="shared" si="0"/>
        <v>2</v>
      </c>
      <c r="F11" s="2">
        <f t="shared" si="1"/>
        <v>0.1111111111111111</v>
      </c>
      <c r="L11" s="4"/>
    </row>
    <row r="12" spans="1:12" x14ac:dyDescent="0.25">
      <c r="A12" t="s">
        <v>5</v>
      </c>
      <c r="B12" t="s">
        <v>20</v>
      </c>
      <c r="C12">
        <v>70</v>
      </c>
      <c r="D12">
        <v>68</v>
      </c>
      <c r="E12">
        <f t="shared" si="0"/>
        <v>-2</v>
      </c>
      <c r="F12" s="2">
        <f t="shared" si="1"/>
        <v>-2.8571428571428571E-2</v>
      </c>
      <c r="L12" s="4"/>
    </row>
    <row r="13" spans="1:12" x14ac:dyDescent="0.25">
      <c r="A13" t="s">
        <v>5</v>
      </c>
      <c r="B13" t="s">
        <v>21</v>
      </c>
      <c r="C13">
        <v>15</v>
      </c>
      <c r="D13">
        <v>15</v>
      </c>
      <c r="E13">
        <f t="shared" si="0"/>
        <v>0</v>
      </c>
      <c r="F13" s="2">
        <f t="shared" si="1"/>
        <v>0</v>
      </c>
    </row>
    <row r="14" spans="1:12" x14ac:dyDescent="0.25">
      <c r="A14" t="s">
        <v>6</v>
      </c>
      <c r="B14" t="s">
        <v>18</v>
      </c>
      <c r="C14">
        <v>45</v>
      </c>
      <c r="D14">
        <v>47</v>
      </c>
      <c r="E14">
        <f t="shared" si="0"/>
        <v>2</v>
      </c>
      <c r="F14" s="2">
        <f t="shared" si="1"/>
        <v>4.4444444444444446E-2</v>
      </c>
    </row>
    <row r="15" spans="1:12" x14ac:dyDescent="0.25">
      <c r="A15" t="s">
        <v>6</v>
      </c>
      <c r="B15" t="s">
        <v>19</v>
      </c>
      <c r="C15">
        <v>18</v>
      </c>
      <c r="D15">
        <v>20</v>
      </c>
      <c r="E15">
        <f t="shared" si="0"/>
        <v>2</v>
      </c>
      <c r="F15" s="2">
        <f t="shared" si="1"/>
        <v>0.1111111111111111</v>
      </c>
    </row>
    <row r="16" spans="1:12" x14ac:dyDescent="0.25">
      <c r="A16" t="s">
        <v>6</v>
      </c>
      <c r="B16" t="s">
        <v>20</v>
      </c>
      <c r="C16">
        <v>70</v>
      </c>
      <c r="D16">
        <v>68</v>
      </c>
      <c r="E16">
        <f t="shared" si="0"/>
        <v>-2</v>
      </c>
      <c r="F16" s="2">
        <f t="shared" si="1"/>
        <v>-2.8571428571428571E-2</v>
      </c>
    </row>
    <row r="17" spans="1:6" x14ac:dyDescent="0.25">
      <c r="A17" t="s">
        <v>6</v>
      </c>
      <c r="B17" t="s">
        <v>21</v>
      </c>
      <c r="C17">
        <v>15</v>
      </c>
      <c r="D17">
        <v>15</v>
      </c>
      <c r="E17">
        <f t="shared" si="0"/>
        <v>0</v>
      </c>
      <c r="F17" s="2">
        <f t="shared" si="1"/>
        <v>0</v>
      </c>
    </row>
    <row r="18" spans="1:6" x14ac:dyDescent="0.25">
      <c r="A18" t="s">
        <v>7</v>
      </c>
      <c r="B18" t="s">
        <v>18</v>
      </c>
      <c r="C18">
        <v>45</v>
      </c>
      <c r="D18">
        <v>47</v>
      </c>
      <c r="E18">
        <f t="shared" si="0"/>
        <v>2</v>
      </c>
      <c r="F18" s="2">
        <f t="shared" si="1"/>
        <v>4.4444444444444446E-2</v>
      </c>
    </row>
    <row r="19" spans="1:6" x14ac:dyDescent="0.25">
      <c r="A19" t="s">
        <v>7</v>
      </c>
      <c r="B19" t="s">
        <v>19</v>
      </c>
      <c r="C19">
        <v>18</v>
      </c>
      <c r="D19">
        <v>20</v>
      </c>
      <c r="E19">
        <f t="shared" si="0"/>
        <v>2</v>
      </c>
      <c r="F19" s="2">
        <f t="shared" si="1"/>
        <v>0.1111111111111111</v>
      </c>
    </row>
    <row r="20" spans="1:6" x14ac:dyDescent="0.25">
      <c r="A20" t="s">
        <v>7</v>
      </c>
      <c r="B20" t="s">
        <v>20</v>
      </c>
      <c r="C20">
        <v>70</v>
      </c>
      <c r="D20">
        <v>68</v>
      </c>
      <c r="E20">
        <f t="shared" si="0"/>
        <v>-2</v>
      </c>
      <c r="F20" s="2">
        <f t="shared" si="1"/>
        <v>-2.8571428571428571E-2</v>
      </c>
    </row>
    <row r="21" spans="1:6" x14ac:dyDescent="0.25">
      <c r="A21" t="s">
        <v>7</v>
      </c>
      <c r="B21" t="s">
        <v>21</v>
      </c>
      <c r="C21">
        <v>15</v>
      </c>
      <c r="D21">
        <v>15</v>
      </c>
      <c r="E21">
        <f t="shared" si="0"/>
        <v>0</v>
      </c>
      <c r="F21" s="2">
        <f t="shared" si="1"/>
        <v>0</v>
      </c>
    </row>
    <row r="22" spans="1:6" x14ac:dyDescent="0.25">
      <c r="A22" t="s">
        <v>8</v>
      </c>
      <c r="B22" t="s">
        <v>18</v>
      </c>
      <c r="C22">
        <v>45</v>
      </c>
      <c r="D22">
        <v>47</v>
      </c>
      <c r="E22">
        <f t="shared" si="0"/>
        <v>2</v>
      </c>
      <c r="F22" s="2">
        <f t="shared" si="1"/>
        <v>4.4444444444444446E-2</v>
      </c>
    </row>
    <row r="23" spans="1:6" x14ac:dyDescent="0.25">
      <c r="A23" t="s">
        <v>8</v>
      </c>
      <c r="B23" t="s">
        <v>19</v>
      </c>
      <c r="C23">
        <v>18</v>
      </c>
      <c r="D23">
        <v>20</v>
      </c>
      <c r="E23">
        <f t="shared" si="0"/>
        <v>2</v>
      </c>
      <c r="F23" s="2">
        <f t="shared" si="1"/>
        <v>0.1111111111111111</v>
      </c>
    </row>
    <row r="24" spans="1:6" x14ac:dyDescent="0.25">
      <c r="A24" t="s">
        <v>8</v>
      </c>
      <c r="B24" t="s">
        <v>20</v>
      </c>
      <c r="C24">
        <v>70</v>
      </c>
      <c r="D24">
        <v>68</v>
      </c>
      <c r="E24">
        <f t="shared" si="0"/>
        <v>-2</v>
      </c>
      <c r="F24" s="2">
        <f t="shared" si="1"/>
        <v>-2.8571428571428571E-2</v>
      </c>
    </row>
    <row r="25" spans="1:6" x14ac:dyDescent="0.25">
      <c r="A25" t="s">
        <v>8</v>
      </c>
      <c r="B25" t="s">
        <v>21</v>
      </c>
      <c r="C25">
        <v>15</v>
      </c>
      <c r="D25">
        <v>15</v>
      </c>
      <c r="E25">
        <f t="shared" si="0"/>
        <v>0</v>
      </c>
      <c r="F25" s="2">
        <f t="shared" si="1"/>
        <v>0</v>
      </c>
    </row>
    <row r="26" spans="1:6" x14ac:dyDescent="0.25">
      <c r="A26" t="s">
        <v>9</v>
      </c>
      <c r="B26" t="s">
        <v>18</v>
      </c>
      <c r="C26">
        <v>45</v>
      </c>
      <c r="D26">
        <v>47</v>
      </c>
      <c r="E26">
        <f t="shared" si="0"/>
        <v>2</v>
      </c>
      <c r="F26" s="2">
        <f t="shared" si="1"/>
        <v>4.4444444444444446E-2</v>
      </c>
    </row>
    <row r="27" spans="1:6" x14ac:dyDescent="0.25">
      <c r="A27" t="s">
        <v>9</v>
      </c>
      <c r="B27" t="s">
        <v>19</v>
      </c>
      <c r="C27">
        <v>18</v>
      </c>
      <c r="D27">
        <v>20</v>
      </c>
      <c r="E27">
        <f t="shared" si="0"/>
        <v>2</v>
      </c>
      <c r="F27" s="2">
        <f t="shared" si="1"/>
        <v>0.1111111111111111</v>
      </c>
    </row>
    <row r="28" spans="1:6" x14ac:dyDescent="0.25">
      <c r="A28" t="s">
        <v>9</v>
      </c>
      <c r="B28" t="s">
        <v>20</v>
      </c>
      <c r="C28">
        <v>70</v>
      </c>
      <c r="D28">
        <v>68</v>
      </c>
      <c r="E28">
        <f t="shared" si="0"/>
        <v>-2</v>
      </c>
      <c r="F28" s="2">
        <f t="shared" si="1"/>
        <v>-2.8571428571428571E-2</v>
      </c>
    </row>
    <row r="29" spans="1:6" x14ac:dyDescent="0.25">
      <c r="A29" t="s">
        <v>9</v>
      </c>
      <c r="B29" t="s">
        <v>21</v>
      </c>
      <c r="C29">
        <v>15</v>
      </c>
      <c r="D29">
        <v>15</v>
      </c>
      <c r="E29">
        <f t="shared" si="0"/>
        <v>0</v>
      </c>
      <c r="F29" s="2">
        <f t="shared" si="1"/>
        <v>0</v>
      </c>
    </row>
    <row r="30" spans="1:6" x14ac:dyDescent="0.25">
      <c r="A30" t="s">
        <v>10</v>
      </c>
      <c r="B30" t="s">
        <v>18</v>
      </c>
      <c r="C30">
        <v>45</v>
      </c>
      <c r="D30">
        <v>47</v>
      </c>
      <c r="E30">
        <f t="shared" si="0"/>
        <v>2</v>
      </c>
      <c r="F30" s="2">
        <f t="shared" si="1"/>
        <v>4.4444444444444446E-2</v>
      </c>
    </row>
    <row r="31" spans="1:6" x14ac:dyDescent="0.25">
      <c r="A31" t="s">
        <v>10</v>
      </c>
      <c r="B31" t="s">
        <v>19</v>
      </c>
      <c r="C31">
        <v>18</v>
      </c>
      <c r="D31">
        <v>20</v>
      </c>
      <c r="E31">
        <f t="shared" si="0"/>
        <v>2</v>
      </c>
      <c r="F31" s="2">
        <f t="shared" si="1"/>
        <v>0.1111111111111111</v>
      </c>
    </row>
    <row r="32" spans="1:6" x14ac:dyDescent="0.25">
      <c r="A32" t="s">
        <v>10</v>
      </c>
      <c r="B32" t="s">
        <v>20</v>
      </c>
      <c r="C32">
        <v>70</v>
      </c>
      <c r="D32">
        <v>68</v>
      </c>
      <c r="E32">
        <f t="shared" si="0"/>
        <v>-2</v>
      </c>
      <c r="F32" s="2">
        <f t="shared" si="1"/>
        <v>-2.8571428571428571E-2</v>
      </c>
    </row>
    <row r="33" spans="1:6" x14ac:dyDescent="0.25">
      <c r="A33" t="s">
        <v>10</v>
      </c>
      <c r="B33" t="s">
        <v>21</v>
      </c>
      <c r="C33">
        <v>15</v>
      </c>
      <c r="D33">
        <v>15</v>
      </c>
      <c r="E33">
        <f t="shared" si="0"/>
        <v>0</v>
      </c>
      <c r="F33" s="2">
        <f t="shared" si="1"/>
        <v>0</v>
      </c>
    </row>
    <row r="34" spans="1:6" x14ac:dyDescent="0.25">
      <c r="A34" t="s">
        <v>11</v>
      </c>
      <c r="B34" t="s">
        <v>18</v>
      </c>
      <c r="C34">
        <v>45</v>
      </c>
      <c r="D34">
        <v>47</v>
      </c>
      <c r="E34">
        <f t="shared" si="0"/>
        <v>2</v>
      </c>
      <c r="F34" s="2">
        <f t="shared" si="1"/>
        <v>4.4444444444444446E-2</v>
      </c>
    </row>
    <row r="35" spans="1:6" x14ac:dyDescent="0.25">
      <c r="A35" t="s">
        <v>11</v>
      </c>
      <c r="B35" t="s">
        <v>19</v>
      </c>
      <c r="C35">
        <v>18</v>
      </c>
      <c r="D35">
        <v>20</v>
      </c>
      <c r="E35">
        <f t="shared" si="0"/>
        <v>2</v>
      </c>
      <c r="F35" s="2">
        <f t="shared" si="1"/>
        <v>0.1111111111111111</v>
      </c>
    </row>
    <row r="36" spans="1:6" x14ac:dyDescent="0.25">
      <c r="A36" t="s">
        <v>11</v>
      </c>
      <c r="B36" t="s">
        <v>20</v>
      </c>
      <c r="C36">
        <v>70</v>
      </c>
      <c r="D36">
        <v>68</v>
      </c>
      <c r="E36">
        <f t="shared" si="0"/>
        <v>-2</v>
      </c>
      <c r="F36" s="2">
        <f t="shared" si="1"/>
        <v>-2.8571428571428571E-2</v>
      </c>
    </row>
    <row r="37" spans="1:6" x14ac:dyDescent="0.25">
      <c r="A37" t="s">
        <v>11</v>
      </c>
      <c r="B37" t="s">
        <v>21</v>
      </c>
      <c r="C37">
        <v>15</v>
      </c>
      <c r="D37">
        <v>15</v>
      </c>
      <c r="E37">
        <f t="shared" si="0"/>
        <v>0</v>
      </c>
      <c r="F37" s="2">
        <f t="shared" si="1"/>
        <v>0</v>
      </c>
    </row>
    <row r="38" spans="1:6" x14ac:dyDescent="0.25">
      <c r="A38" t="s">
        <v>12</v>
      </c>
      <c r="B38" t="s">
        <v>18</v>
      </c>
      <c r="C38">
        <v>45</v>
      </c>
      <c r="D38">
        <v>47</v>
      </c>
      <c r="E38">
        <f t="shared" si="0"/>
        <v>2</v>
      </c>
      <c r="F38" s="2">
        <f t="shared" si="1"/>
        <v>4.4444444444444446E-2</v>
      </c>
    </row>
    <row r="39" spans="1:6" x14ac:dyDescent="0.25">
      <c r="A39" t="s">
        <v>12</v>
      </c>
      <c r="B39" t="s">
        <v>19</v>
      </c>
      <c r="C39">
        <v>18</v>
      </c>
      <c r="D39">
        <v>20</v>
      </c>
      <c r="E39">
        <f t="shared" si="0"/>
        <v>2</v>
      </c>
      <c r="F39" s="2">
        <f t="shared" si="1"/>
        <v>0.1111111111111111</v>
      </c>
    </row>
    <row r="40" spans="1:6" x14ac:dyDescent="0.25">
      <c r="A40" t="s">
        <v>12</v>
      </c>
      <c r="B40" t="s">
        <v>20</v>
      </c>
      <c r="C40">
        <v>70</v>
      </c>
      <c r="D40">
        <v>68</v>
      </c>
      <c r="E40">
        <f t="shared" si="0"/>
        <v>-2</v>
      </c>
      <c r="F40" s="2">
        <f t="shared" si="1"/>
        <v>-2.8571428571428571E-2</v>
      </c>
    </row>
    <row r="41" spans="1:6" x14ac:dyDescent="0.25">
      <c r="A41" t="s">
        <v>12</v>
      </c>
      <c r="B41" t="s">
        <v>21</v>
      </c>
      <c r="C41">
        <v>15</v>
      </c>
      <c r="D41">
        <v>15</v>
      </c>
      <c r="E41">
        <f t="shared" si="0"/>
        <v>0</v>
      </c>
      <c r="F41" s="2">
        <f t="shared" si="1"/>
        <v>0</v>
      </c>
    </row>
    <row r="42" spans="1:6" x14ac:dyDescent="0.25">
      <c r="A42" t="s">
        <v>13</v>
      </c>
      <c r="B42" t="s">
        <v>18</v>
      </c>
      <c r="C42">
        <v>45</v>
      </c>
      <c r="D42">
        <v>47</v>
      </c>
      <c r="E42">
        <f t="shared" si="0"/>
        <v>2</v>
      </c>
      <c r="F42" s="2">
        <f t="shared" si="1"/>
        <v>4.4444444444444446E-2</v>
      </c>
    </row>
    <row r="43" spans="1:6" x14ac:dyDescent="0.25">
      <c r="A43" t="s">
        <v>13</v>
      </c>
      <c r="B43" t="s">
        <v>19</v>
      </c>
      <c r="C43">
        <v>18</v>
      </c>
      <c r="D43">
        <v>20</v>
      </c>
      <c r="E43">
        <f t="shared" si="0"/>
        <v>2</v>
      </c>
      <c r="F43" s="2">
        <f t="shared" si="1"/>
        <v>0.1111111111111111</v>
      </c>
    </row>
    <row r="44" spans="1:6" x14ac:dyDescent="0.25">
      <c r="A44" t="s">
        <v>13</v>
      </c>
      <c r="B44" t="s">
        <v>20</v>
      </c>
      <c r="C44">
        <v>70</v>
      </c>
      <c r="D44">
        <v>68</v>
      </c>
      <c r="E44">
        <f t="shared" si="0"/>
        <v>-2</v>
      </c>
      <c r="F44" s="2">
        <f t="shared" si="1"/>
        <v>-2.8571428571428571E-2</v>
      </c>
    </row>
    <row r="45" spans="1:6" x14ac:dyDescent="0.25">
      <c r="A45" t="s">
        <v>13</v>
      </c>
      <c r="B45" t="s">
        <v>21</v>
      </c>
      <c r="C45">
        <v>15</v>
      </c>
      <c r="D45">
        <v>15</v>
      </c>
      <c r="E45">
        <f t="shared" si="0"/>
        <v>0</v>
      </c>
      <c r="F45" s="2">
        <f t="shared" si="1"/>
        <v>0</v>
      </c>
    </row>
    <row r="46" spans="1:6" x14ac:dyDescent="0.25">
      <c r="A46" t="s">
        <v>14</v>
      </c>
      <c r="B46" t="s">
        <v>18</v>
      </c>
      <c r="C46">
        <v>45</v>
      </c>
      <c r="D46">
        <v>47</v>
      </c>
      <c r="E46">
        <f t="shared" si="0"/>
        <v>2</v>
      </c>
      <c r="F46" s="2">
        <f t="shared" si="1"/>
        <v>4.4444444444444446E-2</v>
      </c>
    </row>
    <row r="47" spans="1:6" x14ac:dyDescent="0.25">
      <c r="A47" t="s">
        <v>14</v>
      </c>
      <c r="B47" t="s">
        <v>19</v>
      </c>
      <c r="C47">
        <v>18</v>
      </c>
      <c r="D47">
        <v>20</v>
      </c>
      <c r="E47">
        <f t="shared" si="0"/>
        <v>2</v>
      </c>
      <c r="F47" s="2">
        <f t="shared" si="1"/>
        <v>0.1111111111111111</v>
      </c>
    </row>
    <row r="48" spans="1:6" x14ac:dyDescent="0.25">
      <c r="A48" t="s">
        <v>14</v>
      </c>
      <c r="B48" t="s">
        <v>20</v>
      </c>
      <c r="C48">
        <v>70</v>
      </c>
      <c r="D48">
        <v>68</v>
      </c>
      <c r="E48">
        <f t="shared" si="0"/>
        <v>-2</v>
      </c>
      <c r="F48" s="2">
        <f t="shared" si="1"/>
        <v>-2.8571428571428571E-2</v>
      </c>
    </row>
    <row r="49" spans="1:6" x14ac:dyDescent="0.25">
      <c r="A49" t="s">
        <v>14</v>
      </c>
      <c r="B49" t="s">
        <v>21</v>
      </c>
      <c r="C49">
        <v>15</v>
      </c>
      <c r="D49">
        <v>15</v>
      </c>
      <c r="E49">
        <f t="shared" si="0"/>
        <v>0</v>
      </c>
      <c r="F49" s="2">
        <f t="shared" si="1"/>
        <v>0</v>
      </c>
    </row>
    <row r="53" spans="1:6" x14ac:dyDescent="0.25">
      <c r="A53" t="s">
        <v>37</v>
      </c>
    </row>
    <row r="55" spans="1:6" x14ac:dyDescent="0.25">
      <c r="A55" t="s">
        <v>38</v>
      </c>
    </row>
    <row r="57" spans="1:6" x14ac:dyDescent="0.25">
      <c r="A57" t="s">
        <v>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workbookViewId="0">
      <selection activeCell="J11" sqref="J11"/>
    </sheetView>
  </sheetViews>
  <sheetFormatPr defaultRowHeight="15" x14ac:dyDescent="0.25"/>
  <cols>
    <col min="1" max="1" width="14" bestFit="1" customWidth="1"/>
    <col min="2" max="3" width="10.140625" bestFit="1" customWidth="1"/>
    <col min="4" max="4" width="9.140625" bestFit="1" customWidth="1"/>
    <col min="5" max="5" width="10.28515625" bestFit="1" customWidth="1"/>
    <col min="6" max="6" width="8.28515625" customWidth="1"/>
  </cols>
  <sheetData>
    <row r="1" spans="1:6" x14ac:dyDescent="0.25">
      <c r="A1" t="s">
        <v>24</v>
      </c>
      <c r="B1" t="s">
        <v>16</v>
      </c>
      <c r="C1" t="s">
        <v>17</v>
      </c>
      <c r="D1" t="s">
        <v>32</v>
      </c>
      <c r="E1" t="s">
        <v>53</v>
      </c>
      <c r="F1" t="s">
        <v>54</v>
      </c>
    </row>
    <row r="2" spans="1:6" x14ac:dyDescent="0.25">
      <c r="A2" t="s">
        <v>50</v>
      </c>
      <c r="B2" s="7">
        <f>SUM(Revenue!B2:B13)</f>
        <v>40900000</v>
      </c>
      <c r="C2" s="7">
        <f>SUM(Revenue!C2:C13)</f>
        <v>40180000</v>
      </c>
      <c r="D2" s="7">
        <f>C2-B2</f>
        <v>-720000</v>
      </c>
      <c r="E2" s="2">
        <f>D2/B2</f>
        <v>-1.7603911980440097E-2</v>
      </c>
      <c r="F2">
        <f>IFERROR(IF(D2&lt;0,-1,1),0)</f>
        <v>-1</v>
      </c>
    </row>
    <row r="3" spans="1:6" x14ac:dyDescent="0.25">
      <c r="A3" t="s">
        <v>51</v>
      </c>
      <c r="B3" s="7">
        <f>SUM('Operating Expense'!C2:C49)</f>
        <v>17880000</v>
      </c>
      <c r="C3" s="7">
        <f>SUM('Operating Expense'!D2:D49)</f>
        <v>18416400</v>
      </c>
      <c r="D3" s="7">
        <f t="shared" ref="D3:D8" si="0">C3-B3</f>
        <v>536400</v>
      </c>
      <c r="E3" s="2">
        <f t="shared" ref="E3:E8" si="1">D3/B3</f>
        <v>0.03</v>
      </c>
      <c r="F3">
        <f>IFERROR(IF(D3&gt;0,-1,1),0)</f>
        <v>-1</v>
      </c>
    </row>
    <row r="4" spans="1:6" x14ac:dyDescent="0.25">
      <c r="A4" t="s">
        <v>52</v>
      </c>
      <c r="B4" s="6">
        <f>SUM(Headcount!C2:C5)</f>
        <v>148</v>
      </c>
      <c r="C4" s="6">
        <f>SUM(Headcount!D2:D5)</f>
        <v>150</v>
      </c>
      <c r="D4" s="6">
        <f t="shared" si="0"/>
        <v>2</v>
      </c>
      <c r="E4" s="2">
        <f t="shared" si="1"/>
        <v>1.3513513513513514E-2</v>
      </c>
      <c r="F4">
        <v>0</v>
      </c>
    </row>
    <row r="5" spans="1:6" x14ac:dyDescent="0.25">
      <c r="A5" t="s">
        <v>25</v>
      </c>
      <c r="B5" s="2">
        <v>0.2</v>
      </c>
      <c r="C5" s="2">
        <v>0.18</v>
      </c>
      <c r="D5" s="2">
        <f t="shared" si="0"/>
        <v>-2.0000000000000018E-2</v>
      </c>
      <c r="E5" s="2">
        <f t="shared" si="1"/>
        <v>-0.10000000000000009</v>
      </c>
      <c r="F5">
        <f t="shared" ref="F3:F8" si="2">IFERROR(IF(D5&lt;0,-1,1),0)</f>
        <v>-1</v>
      </c>
    </row>
    <row r="6" spans="1:6" x14ac:dyDescent="0.25">
      <c r="A6" t="s">
        <v>26</v>
      </c>
      <c r="B6" s="2">
        <v>0.78</v>
      </c>
      <c r="C6" s="2">
        <v>0.76</v>
      </c>
      <c r="D6" s="2">
        <f t="shared" si="0"/>
        <v>-2.0000000000000018E-2</v>
      </c>
      <c r="E6" s="2">
        <f t="shared" si="1"/>
        <v>-2.5641025641025664E-2</v>
      </c>
      <c r="F6">
        <f t="shared" si="2"/>
        <v>-1</v>
      </c>
    </row>
    <row r="7" spans="1:6" x14ac:dyDescent="0.25">
      <c r="A7" t="s">
        <v>27</v>
      </c>
      <c r="B7" s="2">
        <v>0.18</v>
      </c>
      <c r="C7" s="2">
        <v>0.15</v>
      </c>
      <c r="D7" s="2">
        <f t="shared" si="0"/>
        <v>-0.03</v>
      </c>
      <c r="E7" s="2">
        <f t="shared" si="1"/>
        <v>-0.16666666666666666</v>
      </c>
      <c r="F7">
        <f t="shared" si="2"/>
        <v>-1</v>
      </c>
    </row>
    <row r="8" spans="1:6" x14ac:dyDescent="0.25">
      <c r="A8" t="s">
        <v>28</v>
      </c>
      <c r="B8" s="2">
        <v>0.05</v>
      </c>
      <c r="C8" s="2">
        <v>6.5000000000000002E-2</v>
      </c>
      <c r="D8" s="2">
        <f t="shared" si="0"/>
        <v>1.4999999999999999E-2</v>
      </c>
      <c r="E8" s="2">
        <f t="shared" si="1"/>
        <v>0.3</v>
      </c>
      <c r="F8">
        <f>IFERROR(IF(D8&gt;0,-1,1),0)</f>
        <v>-1</v>
      </c>
    </row>
  </sheetData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800DF83D-E651-4715-BEEA-EF5875A77442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2"/>
              <x14:cfIcon iconSet="3TrafficLights1" iconId="1"/>
            </x14:iconSet>
          </x14:cfRule>
          <xm:sqref>F2:F8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931F6-FC64-47D4-9BFC-30ACF469CF41}">
  <dimension ref="B2:K35"/>
  <sheetViews>
    <sheetView workbookViewId="0">
      <selection activeCell="J21" sqref="J21"/>
    </sheetView>
  </sheetViews>
  <sheetFormatPr defaultRowHeight="15" x14ac:dyDescent="0.25"/>
  <cols>
    <col min="2" max="2" width="14.5703125" customWidth="1"/>
    <col min="3" max="3" width="21.140625" customWidth="1"/>
    <col min="5" max="5" width="14" bestFit="1" customWidth="1"/>
    <col min="6" max="6" width="13" bestFit="1" customWidth="1"/>
    <col min="7" max="7" width="12.7109375" bestFit="1" customWidth="1"/>
    <col min="10" max="10" width="14" bestFit="1" customWidth="1"/>
    <col min="11" max="11" width="24" bestFit="1" customWidth="1"/>
  </cols>
  <sheetData>
    <row r="2" spans="2:11" x14ac:dyDescent="0.25">
      <c r="B2" t="s">
        <v>15</v>
      </c>
      <c r="C2" t="s">
        <v>36</v>
      </c>
      <c r="E2" t="s">
        <v>15</v>
      </c>
      <c r="F2" t="s">
        <v>33</v>
      </c>
      <c r="G2" t="s">
        <v>34</v>
      </c>
      <c r="J2" t="s">
        <v>15</v>
      </c>
      <c r="K2" t="s">
        <v>45</v>
      </c>
    </row>
    <row r="3" spans="2:11" x14ac:dyDescent="0.25">
      <c r="B3" t="s">
        <v>18</v>
      </c>
      <c r="C3" s="2">
        <v>4.4444444444444446E-2</v>
      </c>
      <c r="E3" t="s">
        <v>18</v>
      </c>
      <c r="F3" s="3">
        <v>0.06</v>
      </c>
      <c r="G3" t="s">
        <v>40</v>
      </c>
      <c r="J3" t="s">
        <v>18</v>
      </c>
      <c r="K3" s="2">
        <v>1.4893617021276622E-2</v>
      </c>
    </row>
    <row r="4" spans="2:11" x14ac:dyDescent="0.25">
      <c r="B4" t="s">
        <v>19</v>
      </c>
      <c r="C4" s="2">
        <v>0.1111111111111111</v>
      </c>
      <c r="E4" t="s">
        <v>19</v>
      </c>
      <c r="F4" s="3">
        <v>0.11</v>
      </c>
      <c r="G4" t="s">
        <v>40</v>
      </c>
      <c r="J4" t="s">
        <v>19</v>
      </c>
      <c r="K4" s="2">
        <v>-1.0000000000000414E-3</v>
      </c>
    </row>
    <row r="5" spans="2:11" x14ac:dyDescent="0.25">
      <c r="B5" t="s">
        <v>20</v>
      </c>
      <c r="C5" s="2">
        <v>-2.8571428571428571E-2</v>
      </c>
      <c r="E5" t="s">
        <v>20</v>
      </c>
      <c r="F5" s="3">
        <v>-0.02</v>
      </c>
      <c r="G5" t="s">
        <v>41</v>
      </c>
      <c r="J5" t="s">
        <v>20</v>
      </c>
      <c r="K5" s="2">
        <v>8.8235294117647144E-3</v>
      </c>
    </row>
    <row r="6" spans="2:11" x14ac:dyDescent="0.25">
      <c r="B6" t="s">
        <v>21</v>
      </c>
      <c r="C6" s="2">
        <v>0</v>
      </c>
      <c r="E6" t="s">
        <v>21</v>
      </c>
      <c r="F6" s="3">
        <v>-7.0000000000000007E-2</v>
      </c>
      <c r="G6" t="s">
        <v>41</v>
      </c>
      <c r="J6" t="s">
        <v>21</v>
      </c>
      <c r="K6" s="2">
        <v>-6.9999999999999965E-2</v>
      </c>
    </row>
    <row r="10" spans="2:11" x14ac:dyDescent="0.25">
      <c r="B10" s="4"/>
    </row>
    <row r="11" spans="2:11" x14ac:dyDescent="0.25">
      <c r="B11" t="s">
        <v>47</v>
      </c>
    </row>
    <row r="13" spans="2:11" x14ac:dyDescent="0.25">
      <c r="B13" t="s">
        <v>48</v>
      </c>
    </row>
    <row r="15" spans="2:11" x14ac:dyDescent="0.25">
      <c r="B15" t="s">
        <v>49</v>
      </c>
    </row>
    <row r="17" spans="2:3" x14ac:dyDescent="0.25">
      <c r="B17" t="s">
        <v>46</v>
      </c>
    </row>
    <row r="21" spans="2:3" x14ac:dyDescent="0.25">
      <c r="B21" t="s">
        <v>0</v>
      </c>
      <c r="C21" t="s">
        <v>30</v>
      </c>
    </row>
    <row r="22" spans="2:3" x14ac:dyDescent="0.25">
      <c r="B22" t="s">
        <v>3</v>
      </c>
      <c r="C22" s="2">
        <v>-2.6666666666666668E-2</v>
      </c>
    </row>
    <row r="23" spans="2:3" x14ac:dyDescent="0.25">
      <c r="B23" t="s">
        <v>4</v>
      </c>
      <c r="C23" s="2">
        <v>-1.6129032258064516E-2</v>
      </c>
    </row>
    <row r="24" spans="2:3" x14ac:dyDescent="0.25">
      <c r="B24" t="s">
        <v>5</v>
      </c>
      <c r="C24" s="2">
        <v>-2.1538461538461538E-2</v>
      </c>
    </row>
    <row r="25" spans="2:3" x14ac:dyDescent="0.25">
      <c r="B25" t="s">
        <v>6</v>
      </c>
      <c r="C25" s="2">
        <v>-9.0909090909090905E-3</v>
      </c>
    </row>
    <row r="26" spans="2:3" x14ac:dyDescent="0.25">
      <c r="B26" t="s">
        <v>7</v>
      </c>
      <c r="C26" s="2">
        <v>-1.1940298507462687E-2</v>
      </c>
    </row>
    <row r="27" spans="2:3" x14ac:dyDescent="0.25">
      <c r="B27" t="s">
        <v>8</v>
      </c>
      <c r="C27" s="2">
        <v>-1.1764705882352941E-2</v>
      </c>
    </row>
    <row r="28" spans="2:3" x14ac:dyDescent="0.25">
      <c r="B28" t="s">
        <v>9</v>
      </c>
      <c r="C28" s="2">
        <v>-2.0289855072463767E-2</v>
      </c>
    </row>
    <row r="29" spans="2:3" x14ac:dyDescent="0.25">
      <c r="B29" t="s">
        <v>10</v>
      </c>
      <c r="C29" s="2">
        <v>-1.7142857142857144E-2</v>
      </c>
    </row>
    <row r="30" spans="2:3" x14ac:dyDescent="0.25">
      <c r="B30" t="s">
        <v>11</v>
      </c>
      <c r="C30" s="2">
        <v>-1.6901408450704224E-2</v>
      </c>
    </row>
    <row r="31" spans="2:3" x14ac:dyDescent="0.25">
      <c r="B31" t="s">
        <v>12</v>
      </c>
      <c r="C31" s="2">
        <v>-2.5000000000000001E-2</v>
      </c>
    </row>
    <row r="32" spans="2:3" x14ac:dyDescent="0.25">
      <c r="B32" t="s">
        <v>13</v>
      </c>
      <c r="C32" s="2">
        <v>-1.643835616438356E-2</v>
      </c>
    </row>
    <row r="33" spans="2:3" x14ac:dyDescent="0.25">
      <c r="B33" t="s">
        <v>14</v>
      </c>
      <c r="C33" s="2">
        <v>-1.8666666666666668E-2</v>
      </c>
    </row>
    <row r="35" spans="2:3" x14ac:dyDescent="0.25">
      <c r="B35" t="s">
        <v>31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Revenue</vt:lpstr>
      <vt:lpstr>Operating Expense</vt:lpstr>
      <vt:lpstr>Headcount</vt:lpstr>
      <vt:lpstr>KPI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jingtaos</cp:lastModifiedBy>
  <dcterms:created xsi:type="dcterms:W3CDTF">2026-07-11T03:27:46Z</dcterms:created>
  <dcterms:modified xsi:type="dcterms:W3CDTF">2026-07-12T01:14:43Z</dcterms:modified>
</cp:coreProperties>
</file>